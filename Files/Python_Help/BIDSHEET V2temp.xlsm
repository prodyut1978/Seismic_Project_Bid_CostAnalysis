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mc:AlternateContent xmlns:mc="http://schemas.openxmlformats.org/markup-compatibility/2006">
    <mc:Choice Requires="x15">
      <x15ac:absPath xmlns:x15ac="http://schemas.microsoft.com/office/spreadsheetml/2010/11/ac" url="C:\Users\tharris.EAGLEGEO\Desktop\"/>
    </mc:Choice>
  </mc:AlternateContent>
  <xr:revisionPtr revIDLastSave="0" documentId="13_ncr:1_{0D70ADE9-BE14-4146-872E-7FACC8CABCF8}" xr6:coauthVersionLast="45" xr6:coauthVersionMax="45" xr10:uidLastSave="{00000000-0000-0000-0000-000000000000}"/>
  <bookViews>
    <workbookView xWindow="35715" yWindow="165" windowWidth="21585" windowHeight="15300" tabRatio="546" xr2:uid="{00000000-000D-0000-FFFF-FFFF00000000}"/>
  </bookViews>
  <sheets>
    <sheet name="2018-2019 work sheet" sheetId="30" r:id="rId1"/>
    <sheet name="SwampV13 combo AFE" sheetId="32" r:id="rId2"/>
    <sheet name="Sunland 2008 01 2D" sheetId="31" r:id="rId3"/>
  </sheets>
  <definedNames>
    <definedName name="_xlnm._FilterDatabase" localSheetId="0" hidden="1">'2018-2019 work sheet'!$I$1:$P$21</definedName>
    <definedName name="_xlnm._FilterDatabase" localSheetId="2" hidden="1">'Sunland 2008 01 2D'!$C$1:$J$10</definedName>
    <definedName name="Batteries" localSheetId="0">#REF!</definedName>
    <definedName name="Batteries" localSheetId="1">#REF!</definedName>
    <definedName name="Batteries">#REF!</definedName>
    <definedName name="Box" localSheetId="0">'2018-2019 work sheet'!$U$187:$U$193</definedName>
    <definedName name="Box" localSheetId="1">#REF!</definedName>
    <definedName name="Box">#REF!</definedName>
    <definedName name="Boxes" localSheetId="0">#REF!</definedName>
    <definedName name="Boxes" localSheetId="1">#REF!</definedName>
    <definedName name="Boxes">#REF!</definedName>
    <definedName name="Geophones" localSheetId="0">#REF!</definedName>
    <definedName name="Geophones" localSheetId="1">#REF!</definedName>
    <definedName name="Geophones">#REF!</definedName>
    <definedName name="_xlnm.Print_Area" localSheetId="0">'2018-2019 work sheet'!$A$1:$AZ$252</definedName>
    <definedName name="_xlnm.Print_Area" localSheetId="2">'Sunland 2008 01 2D'!$A$1:$J$238</definedName>
    <definedName name="_xlnm.Print_Area" localSheetId="1">'SwampV13 combo AFE'!$A$1:$H$120</definedName>
    <definedName name="_xlnm.Print_Titles" localSheetId="2">'Sunland 2008 01 2D'!$1:$3</definedName>
    <definedName name="RecordingSystem" localSheetId="0">#REF!</definedName>
    <definedName name="RecordingSystem" localSheetId="1">#REF!</definedName>
    <definedName name="RecordingSystem">#REF!</definedName>
    <definedName name="YESNO" localSheetId="0">#REF!</definedName>
    <definedName name="YESNO" localSheetId="1">#REF!</definedName>
    <definedName name="YESNO">#REF!</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R25" i="30" l="1"/>
  <c r="V25" i="30" s="1"/>
  <c r="R26" i="30"/>
  <c r="V26" i="30" s="1"/>
  <c r="R27" i="30"/>
  <c r="V27" i="30" s="1"/>
  <c r="R28" i="30"/>
  <c r="V28" i="30" s="1"/>
  <c r="R29" i="30"/>
  <c r="V29" i="30" s="1"/>
  <c r="R30" i="30"/>
  <c r="V30" i="30" s="1"/>
  <c r="R31" i="30"/>
  <c r="V31" i="30" s="1"/>
  <c r="R32" i="30"/>
  <c r="V32" i="30" s="1"/>
  <c r="R33" i="30"/>
  <c r="V33" i="30" s="1"/>
  <c r="R34" i="30"/>
  <c r="V34" i="30" s="1"/>
  <c r="R35" i="30"/>
  <c r="V35" i="30" s="1"/>
  <c r="R36" i="30"/>
  <c r="V36" i="30" s="1"/>
  <c r="R37" i="30"/>
  <c r="V37" i="30" s="1"/>
  <c r="R38" i="30"/>
  <c r="V38" i="30" s="1"/>
  <c r="R39" i="30"/>
  <c r="V39" i="30" s="1"/>
  <c r="R40" i="30"/>
  <c r="V40" i="30" s="1"/>
  <c r="R41" i="30"/>
  <c r="V41" i="30" s="1"/>
  <c r="R42" i="30"/>
  <c r="V42" i="30" s="1"/>
  <c r="L135" i="30" l="1"/>
  <c r="J128" i="30"/>
  <c r="M136" i="30"/>
  <c r="M141" i="30" s="1"/>
  <c r="K141" i="30"/>
  <c r="AH134" i="30" s="1"/>
  <c r="K145" i="30"/>
  <c r="K146" i="30"/>
  <c r="R91" i="30"/>
  <c r="R92" i="30"/>
  <c r="R93" i="30"/>
  <c r="R94" i="30"/>
  <c r="R95" i="30"/>
  <c r="R96" i="30"/>
  <c r="R97" i="30"/>
  <c r="R98" i="30"/>
  <c r="R99" i="30"/>
  <c r="R100" i="30"/>
  <c r="R101" i="30"/>
  <c r="R102" i="30"/>
  <c r="R103" i="30"/>
  <c r="Z107" i="30"/>
  <c r="R107" i="30"/>
  <c r="V107" i="30" s="1"/>
  <c r="R90" i="30"/>
  <c r="V90" i="30" s="1"/>
  <c r="Z90" i="30" l="1"/>
  <c r="AH135" i="30"/>
  <c r="J147" i="30" s="1"/>
  <c r="R79" i="30" l="1"/>
  <c r="V79" i="30" s="1"/>
  <c r="R24" i="30"/>
  <c r="V24" i="30" s="1"/>
  <c r="AD24" i="30" s="1"/>
  <c r="Z24" i="30" l="1"/>
  <c r="Z44" i="30" s="1"/>
  <c r="Z79" i="30"/>
  <c r="V5" i="30" l="1"/>
  <c r="J143" i="30" s="1"/>
  <c r="J145" i="30" l="1"/>
  <c r="J146" i="30"/>
  <c r="M146" i="30" s="1"/>
  <c r="O146" i="30" s="1"/>
  <c r="G109" i="32"/>
  <c r="G108" i="32"/>
  <c r="G107" i="32"/>
  <c r="G100" i="32"/>
  <c r="G99" i="32"/>
  <c r="G98" i="32"/>
  <c r="G97" i="32"/>
  <c r="G96" i="32"/>
  <c r="G95" i="32"/>
  <c r="G94" i="32"/>
  <c r="G93" i="32"/>
  <c r="G92" i="32"/>
  <c r="G91" i="32"/>
  <c r="G87" i="32"/>
  <c r="G86" i="32"/>
  <c r="G85" i="32"/>
  <c r="G88" i="32" s="1"/>
  <c r="G84" i="32"/>
  <c r="G79" i="32"/>
  <c r="G78" i="32"/>
  <c r="G77" i="32"/>
  <c r="G76" i="32"/>
  <c r="G75" i="32"/>
  <c r="G74" i="32"/>
  <c r="G73" i="32"/>
  <c r="G72" i="32"/>
  <c r="G71" i="32"/>
  <c r="G70" i="32"/>
  <c r="G69" i="32"/>
  <c r="G68" i="32"/>
  <c r="G80" i="32" s="1"/>
  <c r="G81" i="32" s="1"/>
  <c r="G62" i="32"/>
  <c r="G61" i="32"/>
  <c r="G59" i="32"/>
  <c r="G58" i="32"/>
  <c r="G56" i="32"/>
  <c r="G55" i="32"/>
  <c r="G54" i="32"/>
  <c r="G49" i="32"/>
  <c r="G48" i="32"/>
  <c r="G47" i="32"/>
  <c r="G46" i="32"/>
  <c r="G45" i="32"/>
  <c r="G44" i="32"/>
  <c r="G43" i="32"/>
  <c r="G42" i="32"/>
  <c r="G41" i="32"/>
  <c r="G40" i="32"/>
  <c r="G39" i="32"/>
  <c r="G34" i="32"/>
  <c r="G33" i="32"/>
  <c r="G32" i="32"/>
  <c r="G31" i="32"/>
  <c r="G30" i="32"/>
  <c r="G29" i="32"/>
  <c r="G28" i="32"/>
  <c r="G27" i="32"/>
  <c r="G26" i="32"/>
  <c r="G25" i="32"/>
  <c r="G24" i="32"/>
  <c r="G23" i="32"/>
  <c r="G22" i="32"/>
  <c r="G17" i="32"/>
  <c r="G16" i="32"/>
  <c r="G15" i="32"/>
  <c r="G14" i="32"/>
  <c r="G13" i="32"/>
  <c r="G12" i="32"/>
  <c r="B60" i="32"/>
  <c r="G60" i="32" s="1"/>
  <c r="B101" i="32"/>
  <c r="M145" i="30" l="1"/>
  <c r="O145" i="30" s="1"/>
  <c r="K147" i="30"/>
  <c r="G112" i="32"/>
  <c r="G113" i="32" s="1"/>
  <c r="G89" i="32"/>
  <c r="G50" i="32"/>
  <c r="G51" i="32" s="1"/>
  <c r="G35" i="32"/>
  <c r="G36" i="32" s="1"/>
  <c r="G18" i="32"/>
  <c r="G19" i="32" s="1"/>
  <c r="G7" i="32"/>
  <c r="B57" i="32"/>
  <c r="G57" i="32" s="1"/>
  <c r="G63" i="32" s="1"/>
  <c r="B102" i="32"/>
  <c r="G102" i="32" s="1"/>
  <c r="G103" i="32" s="1"/>
  <c r="G104" i="32" s="1"/>
  <c r="G64" i="32" l="1"/>
  <c r="G115" i="32"/>
  <c r="G116" i="32" s="1"/>
  <c r="C230" i="31" l="1"/>
  <c r="J229" i="31"/>
  <c r="H228" i="31"/>
  <c r="J228" i="31" s="1"/>
  <c r="J227" i="31"/>
  <c r="S226" i="31"/>
  <c r="J226" i="31"/>
  <c r="J230" i="31" s="1"/>
  <c r="D226" i="31"/>
  <c r="F226" i="31" s="1"/>
  <c r="S225" i="31"/>
  <c r="S224" i="31"/>
  <c r="S223" i="31"/>
  <c r="S222" i="31"/>
  <c r="S221" i="31"/>
  <c r="D221" i="31"/>
  <c r="F221" i="31" s="1"/>
  <c r="S220" i="31"/>
  <c r="F220" i="31"/>
  <c r="D220" i="31"/>
  <c r="S219" i="31"/>
  <c r="S218" i="31"/>
  <c r="C217" i="31"/>
  <c r="C219" i="31" s="1"/>
  <c r="I208" i="31"/>
  <c r="F208" i="31"/>
  <c r="E208" i="31"/>
  <c r="F206" i="31"/>
  <c r="E206" i="31"/>
  <c r="G177" i="31"/>
  <c r="H177" i="31" s="1"/>
  <c r="F175" i="31"/>
  <c r="A175" i="31"/>
  <c r="F174" i="31"/>
  <c r="A174" i="31"/>
  <c r="F173" i="31"/>
  <c r="H173" i="31" s="1"/>
  <c r="H168" i="31"/>
  <c r="F168" i="31"/>
  <c r="F167" i="31"/>
  <c r="H167" i="31" s="1"/>
  <c r="H166" i="31"/>
  <c r="F165" i="31"/>
  <c r="H165" i="31" s="1"/>
  <c r="G164" i="31"/>
  <c r="E164" i="31"/>
  <c r="H163" i="31"/>
  <c r="G163" i="31"/>
  <c r="F163" i="31"/>
  <c r="G178" i="31" s="1"/>
  <c r="H178" i="31" s="1"/>
  <c r="E163" i="31"/>
  <c r="G162" i="31"/>
  <c r="H162" i="31" s="1"/>
  <c r="H161" i="31"/>
  <c r="G161" i="31"/>
  <c r="E157" i="31"/>
  <c r="E156" i="31"/>
  <c r="E152" i="31"/>
  <c r="D151" i="31"/>
  <c r="G147" i="31"/>
  <c r="G152" i="31" s="1"/>
  <c r="J143" i="31"/>
  <c r="J144" i="31" s="1"/>
  <c r="F146" i="31" s="1"/>
  <c r="F138" i="31"/>
  <c r="F137" i="31"/>
  <c r="H137" i="31" s="1"/>
  <c r="H138" i="31" s="1"/>
  <c r="E137" i="31"/>
  <c r="H133" i="31"/>
  <c r="H132" i="31"/>
  <c r="D131" i="31"/>
  <c r="H131" i="31" s="1"/>
  <c r="D130" i="31"/>
  <c r="H130" i="31" s="1"/>
  <c r="H123" i="31"/>
  <c r="F122" i="31"/>
  <c r="H122" i="31" s="1"/>
  <c r="H118" i="31"/>
  <c r="J118" i="31" s="1"/>
  <c r="A114" i="31"/>
  <c r="H110" i="31"/>
  <c r="F190" i="31" s="1"/>
  <c r="H109" i="31"/>
  <c r="H108" i="31"/>
  <c r="H107" i="31"/>
  <c r="H106" i="31"/>
  <c r="H102" i="31"/>
  <c r="H101" i="31"/>
  <c r="H100" i="31"/>
  <c r="H99" i="31"/>
  <c r="H98" i="31"/>
  <c r="H92" i="31"/>
  <c r="H91" i="31"/>
  <c r="D90" i="31"/>
  <c r="H85" i="31"/>
  <c r="I85" i="31" s="1"/>
  <c r="H84" i="31"/>
  <c r="I84" i="31" s="1"/>
  <c r="E82" i="31"/>
  <c r="D82" i="31" s="1"/>
  <c r="H82" i="31" s="1"/>
  <c r="H79" i="31"/>
  <c r="I79" i="31" s="1"/>
  <c r="H78" i="31"/>
  <c r="H77" i="31"/>
  <c r="I77" i="31" s="1"/>
  <c r="H76" i="31"/>
  <c r="I76" i="31" s="1"/>
  <c r="E75" i="31"/>
  <c r="H75" i="31" s="1"/>
  <c r="H74" i="31"/>
  <c r="I74" i="31" s="1"/>
  <c r="E74" i="31"/>
  <c r="H72" i="31"/>
  <c r="H71" i="31"/>
  <c r="I68" i="31"/>
  <c r="H68" i="31"/>
  <c r="E90" i="31" s="1"/>
  <c r="H90" i="31" s="1"/>
  <c r="G68" i="31"/>
  <c r="F68" i="31"/>
  <c r="E68" i="31"/>
  <c r="D68" i="31"/>
  <c r="J67" i="31"/>
  <c r="J68" i="31" s="1"/>
  <c r="E89" i="31" s="1"/>
  <c r="H89" i="31" s="1"/>
  <c r="H57" i="31"/>
  <c r="I57" i="31" s="1"/>
  <c r="D57" i="31"/>
  <c r="F57" i="31" s="1"/>
  <c r="G57" i="31" s="1"/>
  <c r="BK56" i="31"/>
  <c r="BL56" i="31" s="1"/>
  <c r="BM56" i="31" s="1"/>
  <c r="H56" i="31"/>
  <c r="I56" i="31" s="1"/>
  <c r="D56" i="31"/>
  <c r="J56" i="31" s="1"/>
  <c r="BL55" i="31"/>
  <c r="BM55" i="31" s="1"/>
  <c r="BK55" i="31"/>
  <c r="J55" i="31"/>
  <c r="F55" i="31"/>
  <c r="G55" i="31" s="1"/>
  <c r="BK54" i="31"/>
  <c r="BL54" i="31" s="1"/>
  <c r="BM54" i="31" s="1"/>
  <c r="J53" i="31"/>
  <c r="I53" i="31"/>
  <c r="F53" i="31"/>
  <c r="G53" i="31" s="1"/>
  <c r="J52" i="31"/>
  <c r="F52" i="31"/>
  <c r="G52" i="31" s="1"/>
  <c r="J51" i="31"/>
  <c r="D51" i="31"/>
  <c r="F51" i="31" s="1"/>
  <c r="G51" i="31" s="1"/>
  <c r="H50" i="31"/>
  <c r="I50" i="31" s="1"/>
  <c r="D50" i="31"/>
  <c r="F50" i="31" s="1"/>
  <c r="J49" i="31"/>
  <c r="I49" i="31"/>
  <c r="H49" i="31"/>
  <c r="H51" i="31" s="1"/>
  <c r="I51" i="31" s="1"/>
  <c r="F49" i="31"/>
  <c r="G49" i="31" s="1"/>
  <c r="J48" i="31"/>
  <c r="I48" i="31"/>
  <c r="F48" i="31"/>
  <c r="G48" i="31" s="1"/>
  <c r="J47" i="31"/>
  <c r="I47" i="31"/>
  <c r="F47" i="31"/>
  <c r="G47" i="31" s="1"/>
  <c r="I46" i="31"/>
  <c r="F46" i="31"/>
  <c r="J46" i="31" s="1"/>
  <c r="J42" i="31"/>
  <c r="G42" i="31"/>
  <c r="H42" i="31" s="1"/>
  <c r="J41" i="31"/>
  <c r="F41" i="31"/>
  <c r="E40" i="31"/>
  <c r="E41" i="31" s="1"/>
  <c r="G41" i="31" s="1"/>
  <c r="H41" i="31" s="1"/>
  <c r="J39" i="31"/>
  <c r="F39" i="31"/>
  <c r="E39" i="31"/>
  <c r="G39" i="31" s="1"/>
  <c r="H39" i="31" s="1"/>
  <c r="J38" i="31"/>
  <c r="G38" i="31"/>
  <c r="J36" i="31"/>
  <c r="G36" i="31"/>
  <c r="J35" i="31"/>
  <c r="G35" i="31"/>
  <c r="H35" i="31" s="1"/>
  <c r="AU32" i="31"/>
  <c r="AC32" i="31"/>
  <c r="H32" i="31"/>
  <c r="I39" i="31" s="1"/>
  <c r="D32" i="31"/>
  <c r="D54" i="31" s="1"/>
  <c r="F54" i="31" s="1"/>
  <c r="G54" i="31" s="1"/>
  <c r="I31" i="31"/>
  <c r="AC30" i="31"/>
  <c r="K30" i="31"/>
  <c r="I30" i="31"/>
  <c r="F30" i="31"/>
  <c r="J30" i="31" s="1"/>
  <c r="I29" i="31"/>
  <c r="F29" i="31"/>
  <c r="J29" i="31" s="1"/>
  <c r="I28" i="31"/>
  <c r="F28" i="31"/>
  <c r="J28" i="31" s="1"/>
  <c r="I27" i="31"/>
  <c r="F27" i="31"/>
  <c r="J27" i="31" s="1"/>
  <c r="AU26" i="31"/>
  <c r="I26" i="31"/>
  <c r="G26" i="31"/>
  <c r="F26" i="31"/>
  <c r="J26" i="31" s="1"/>
  <c r="AC25" i="31"/>
  <c r="I25" i="31"/>
  <c r="F25" i="31"/>
  <c r="J25" i="31" s="1"/>
  <c r="K24" i="31"/>
  <c r="I24" i="31"/>
  <c r="F24" i="31"/>
  <c r="J24" i="31" s="1"/>
  <c r="I23" i="31"/>
  <c r="F23" i="31"/>
  <c r="J23" i="31" s="1"/>
  <c r="I22" i="31"/>
  <c r="F22" i="31"/>
  <c r="J22" i="31" s="1"/>
  <c r="I21" i="31"/>
  <c r="F21" i="31"/>
  <c r="J21" i="31" s="1"/>
  <c r="I20" i="31"/>
  <c r="F20" i="31"/>
  <c r="J20" i="31" s="1"/>
  <c r="I19" i="31"/>
  <c r="F19" i="31"/>
  <c r="J19" i="31" s="1"/>
  <c r="I18" i="31"/>
  <c r="G18" i="31"/>
  <c r="F18" i="31"/>
  <c r="J18" i="31" s="1"/>
  <c r="I17" i="31"/>
  <c r="F17" i="31"/>
  <c r="J17" i="31" s="1"/>
  <c r="I16" i="31"/>
  <c r="F16" i="31"/>
  <c r="J16" i="31" s="1"/>
  <c r="AC15" i="31"/>
  <c r="K15" i="31"/>
  <c r="I15" i="31"/>
  <c r="F15" i="31"/>
  <c r="G15" i="31" s="1"/>
  <c r="I14" i="31"/>
  <c r="G14" i="31"/>
  <c r="F14" i="31"/>
  <c r="J14" i="31" s="1"/>
  <c r="H10" i="31"/>
  <c r="E145" i="31" s="1"/>
  <c r="J7" i="31"/>
  <c r="E217" i="31" s="1"/>
  <c r="D219" i="31" s="1"/>
  <c r="D6" i="31"/>
  <c r="E175" i="31" s="1"/>
  <c r="H175" i="31" s="1"/>
  <c r="G25" i="31" l="1"/>
  <c r="I167" i="31"/>
  <c r="G7" i="31"/>
  <c r="G22" i="31"/>
  <c r="G30" i="31"/>
  <c r="J75" i="31"/>
  <c r="J98" i="31"/>
  <c r="I161" i="31"/>
  <c r="I32" i="31"/>
  <c r="J15" i="31"/>
  <c r="AC21" i="31"/>
  <c r="G23" i="31"/>
  <c r="G27" i="31"/>
  <c r="G29" i="31"/>
  <c r="G46" i="31"/>
  <c r="J132" i="31"/>
  <c r="J166" i="31"/>
  <c r="K20" i="31"/>
  <c r="AC20" i="31"/>
  <c r="K28" i="31"/>
  <c r="G40" i="31"/>
  <c r="F56" i="31"/>
  <c r="G56" i="31" s="1"/>
  <c r="J57" i="31"/>
  <c r="I100" i="31"/>
  <c r="J133" i="31"/>
  <c r="G21" i="31"/>
  <c r="J101" i="31"/>
  <c r="AC17" i="31"/>
  <c r="AU18" i="31"/>
  <c r="I209" i="31"/>
  <c r="J72" i="31"/>
  <c r="J78" i="31"/>
  <c r="I102" i="31"/>
  <c r="J177" i="31"/>
  <c r="AU14" i="31"/>
  <c r="K16" i="31"/>
  <c r="G17" i="31"/>
  <c r="G19" i="31"/>
  <c r="I106" i="31"/>
  <c r="I163" i="31"/>
  <c r="J168" i="31"/>
  <c r="F188" i="31"/>
  <c r="J188" i="31" s="1"/>
  <c r="C223" i="31"/>
  <c r="E81" i="31"/>
  <c r="E83" i="31" s="1"/>
  <c r="G83" i="31" s="1"/>
  <c r="D83" i="31" s="1"/>
  <c r="H83" i="31" s="1"/>
  <c r="I83" i="31" s="1"/>
  <c r="J91" i="31"/>
  <c r="J107" i="31"/>
  <c r="I123" i="31"/>
  <c r="I92" i="31"/>
  <c r="J108" i="31"/>
  <c r="H164" i="31"/>
  <c r="AU22" i="31"/>
  <c r="K21" i="31"/>
  <c r="K22" i="31"/>
  <c r="AC22" i="31"/>
  <c r="K27" i="31"/>
  <c r="AC27" i="31"/>
  <c r="AU27" i="31"/>
  <c r="K31" i="31"/>
  <c r="F31" i="31" s="1"/>
  <c r="J31" i="31" s="1"/>
  <c r="AC31" i="31"/>
  <c r="K14" i="31"/>
  <c r="AC14" i="31"/>
  <c r="K19" i="31"/>
  <c r="AC19" i="31"/>
  <c r="K29" i="31"/>
  <c r="AU30" i="31"/>
  <c r="AU24" i="31"/>
  <c r="K25" i="31"/>
  <c r="AU25" i="31"/>
  <c r="K26" i="31"/>
  <c r="AC26" i="31"/>
  <c r="AC28" i="31"/>
  <c r="AC24" i="31"/>
  <c r="AC29" i="31"/>
  <c r="K17" i="31"/>
  <c r="K18" i="31"/>
  <c r="AC18" i="31"/>
  <c r="K23" i="31"/>
  <c r="AC23" i="31"/>
  <c r="AC16" i="31"/>
  <c r="AU23" i="31"/>
  <c r="J90" i="31"/>
  <c r="I90" i="31"/>
  <c r="J131" i="31"/>
  <c r="I131" i="31"/>
  <c r="J165" i="31"/>
  <c r="I165" i="31"/>
  <c r="AU16" i="31"/>
  <c r="AU17" i="31"/>
  <c r="H190" i="31"/>
  <c r="I190" i="31" s="1"/>
  <c r="J190" i="31"/>
  <c r="F196" i="31"/>
  <c r="J162" i="31"/>
  <c r="I162" i="31"/>
  <c r="AU15" i="31"/>
  <c r="G43" i="31"/>
  <c r="J175" i="31"/>
  <c r="I175" i="31"/>
  <c r="AU31" i="31"/>
  <c r="I178" i="31"/>
  <c r="J178" i="31"/>
  <c r="J89" i="31"/>
  <c r="I89" i="31"/>
  <c r="F219" i="31"/>
  <c r="J122" i="31"/>
  <c r="I122" i="31"/>
  <c r="H124" i="31"/>
  <c r="F193" i="31" s="1"/>
  <c r="G50" i="31"/>
  <c r="J50" i="31"/>
  <c r="J83" i="31"/>
  <c r="J173" i="31"/>
  <c r="I173" i="31"/>
  <c r="J82" i="31"/>
  <c r="I82" i="31"/>
  <c r="F195" i="31"/>
  <c r="H134" i="31"/>
  <c r="J130" i="31"/>
  <c r="I130" i="31"/>
  <c r="J164" i="31"/>
  <c r="I164" i="31"/>
  <c r="G16" i="31"/>
  <c r="AU21" i="31"/>
  <c r="G24" i="31"/>
  <c r="AU29" i="31"/>
  <c r="H38" i="31"/>
  <c r="I71" i="31"/>
  <c r="J74" i="31"/>
  <c r="J79" i="31"/>
  <c r="J92" i="31"/>
  <c r="J102" i="31"/>
  <c r="I107" i="31"/>
  <c r="J123" i="31"/>
  <c r="I132" i="31"/>
  <c r="D154" i="31"/>
  <c r="J163" i="31"/>
  <c r="J167" i="31"/>
  <c r="D228" i="31"/>
  <c r="F228" i="31" s="1"/>
  <c r="AU20" i="31"/>
  <c r="AU28" i="31"/>
  <c r="I35" i="31"/>
  <c r="I38" i="31"/>
  <c r="I41" i="31"/>
  <c r="H54" i="31"/>
  <c r="J71" i="31"/>
  <c r="D81" i="31"/>
  <c r="H81" i="31" s="1"/>
  <c r="H86" i="31" s="1"/>
  <c r="H93" i="31"/>
  <c r="I110" i="31"/>
  <c r="D116" i="31"/>
  <c r="E174" i="31"/>
  <c r="H174" i="31" s="1"/>
  <c r="F200" i="31" s="1"/>
  <c r="F186" i="31"/>
  <c r="AU19" i="31"/>
  <c r="J77" i="31"/>
  <c r="J100" i="31"/>
  <c r="J110" i="31"/>
  <c r="I72" i="31"/>
  <c r="I75" i="31"/>
  <c r="J84" i="31"/>
  <c r="I98" i="31"/>
  <c r="I108" i="31"/>
  <c r="I111" i="31" s="1"/>
  <c r="H111" i="31"/>
  <c r="I133" i="31"/>
  <c r="I137" i="31"/>
  <c r="I138" i="31" s="1"/>
  <c r="I166" i="31"/>
  <c r="I168" i="31"/>
  <c r="I177" i="31"/>
  <c r="G20" i="31"/>
  <c r="G28" i="31"/>
  <c r="H36" i="31"/>
  <c r="I78" i="31"/>
  <c r="I91" i="31"/>
  <c r="I101" i="31"/>
  <c r="D115" i="31"/>
  <c r="J137" i="31"/>
  <c r="J138" i="31" s="1"/>
  <c r="F185" i="31"/>
  <c r="H188" i="31"/>
  <c r="I188" i="31" s="1"/>
  <c r="F198" i="31"/>
  <c r="I233" i="31"/>
  <c r="I36" i="31"/>
  <c r="F169" i="31"/>
  <c r="H169" i="31" s="1"/>
  <c r="H170" i="31" s="1"/>
  <c r="D223" i="31"/>
  <c r="F223" i="31" s="1"/>
  <c r="J85" i="31"/>
  <c r="I99" i="31"/>
  <c r="J106" i="31"/>
  <c r="I109" i="31"/>
  <c r="D117" i="31"/>
  <c r="H146" i="31"/>
  <c r="J148" i="31" s="1"/>
  <c r="J149" i="31" s="1"/>
  <c r="J161" i="31"/>
  <c r="D230" i="31"/>
  <c r="F230" i="31" s="1"/>
  <c r="I234" i="31"/>
  <c r="J76" i="31"/>
  <c r="H97" i="31"/>
  <c r="J99" i="31"/>
  <c r="J109" i="31"/>
  <c r="E147" i="31"/>
  <c r="D158" i="31" s="1"/>
  <c r="B185" i="30"/>
  <c r="D185" i="30"/>
  <c r="I185" i="30"/>
  <c r="L185" i="30"/>
  <c r="M185" i="30"/>
  <c r="N185" i="30"/>
  <c r="P185" i="30"/>
  <c r="B186" i="30"/>
  <c r="D186" i="30"/>
  <c r="I186" i="30"/>
  <c r="L186" i="30"/>
  <c r="M186" i="30"/>
  <c r="N186" i="30"/>
  <c r="P186" i="30"/>
  <c r="B187" i="30"/>
  <c r="D187" i="30"/>
  <c r="K187" i="30"/>
  <c r="L187" i="30"/>
  <c r="M187" i="30"/>
  <c r="N187" i="30"/>
  <c r="P187" i="30"/>
  <c r="B188" i="30"/>
  <c r="D188" i="30"/>
  <c r="I188" i="30"/>
  <c r="J188" i="30"/>
  <c r="K188" i="30"/>
  <c r="L188" i="30"/>
  <c r="M188" i="30"/>
  <c r="N188" i="30"/>
  <c r="O188" i="30"/>
  <c r="P188" i="30"/>
  <c r="B189" i="30"/>
  <c r="D189" i="30"/>
  <c r="I189" i="30"/>
  <c r="J189" i="30"/>
  <c r="K189" i="30"/>
  <c r="L189" i="30"/>
  <c r="M189" i="30"/>
  <c r="N189" i="30"/>
  <c r="O189" i="30"/>
  <c r="P189" i="30"/>
  <c r="B190" i="30"/>
  <c r="D190" i="30"/>
  <c r="I190" i="30"/>
  <c r="K190" i="30"/>
  <c r="L190" i="30"/>
  <c r="M190" i="30"/>
  <c r="N190" i="30"/>
  <c r="O190" i="30"/>
  <c r="P190" i="30"/>
  <c r="B191" i="30"/>
  <c r="D191" i="30"/>
  <c r="I191" i="30"/>
  <c r="J191" i="30"/>
  <c r="K191" i="30"/>
  <c r="L191" i="30"/>
  <c r="N191" i="30"/>
  <c r="O191" i="30"/>
  <c r="B192" i="30"/>
  <c r="D192" i="30"/>
  <c r="I192" i="30"/>
  <c r="J192" i="30"/>
  <c r="K192" i="30"/>
  <c r="L192" i="30"/>
  <c r="M192" i="30"/>
  <c r="N192" i="30"/>
  <c r="O192" i="30"/>
  <c r="P192" i="30"/>
  <c r="B193" i="30"/>
  <c r="D193" i="30"/>
  <c r="I193" i="30"/>
  <c r="J193" i="30"/>
  <c r="K193" i="30"/>
  <c r="L193" i="30"/>
  <c r="M193" i="30"/>
  <c r="N193" i="30"/>
  <c r="O193" i="30"/>
  <c r="P193" i="30"/>
  <c r="B194" i="30"/>
  <c r="D194" i="30"/>
  <c r="I194" i="30"/>
  <c r="J194" i="30"/>
  <c r="K194" i="30"/>
  <c r="L194" i="30"/>
  <c r="M194" i="30"/>
  <c r="O194" i="30"/>
  <c r="P194" i="30"/>
  <c r="D114" i="31" l="1"/>
  <c r="J32" i="31"/>
  <c r="G58" i="31"/>
  <c r="F58" i="31"/>
  <c r="I124" i="31"/>
  <c r="J134" i="31"/>
  <c r="G31" i="31"/>
  <c r="G32" i="31" s="1"/>
  <c r="G60" i="31" s="1"/>
  <c r="G61" i="31" s="1"/>
  <c r="H43" i="31"/>
  <c r="F32" i="31"/>
  <c r="J111" i="31"/>
  <c r="J40" i="31"/>
  <c r="J43" i="31" s="1"/>
  <c r="H40" i="31"/>
  <c r="J151" i="31"/>
  <c r="J152" i="31"/>
  <c r="J200" i="31"/>
  <c r="H200" i="31"/>
  <c r="I200" i="31" s="1"/>
  <c r="I43" i="31"/>
  <c r="I134" i="31"/>
  <c r="C61" i="31"/>
  <c r="H198" i="31"/>
  <c r="I198" i="31" s="1"/>
  <c r="J198" i="31"/>
  <c r="J193" i="31"/>
  <c r="H193" i="31"/>
  <c r="I193" i="31" s="1"/>
  <c r="J93" i="31"/>
  <c r="J94" i="31" s="1"/>
  <c r="I93" i="31"/>
  <c r="I94" i="31" s="1"/>
  <c r="F191" i="31"/>
  <c r="H103" i="31"/>
  <c r="J97" i="31"/>
  <c r="J103" i="31" s="1"/>
  <c r="I97" i="31"/>
  <c r="I103" i="31" s="1"/>
  <c r="F233" i="31"/>
  <c r="F231" i="31"/>
  <c r="F232" i="31" s="1"/>
  <c r="I116" i="31"/>
  <c r="F116" i="31"/>
  <c r="H116" i="31" s="1"/>
  <c r="J116" i="31" s="1"/>
  <c r="H185" i="31"/>
  <c r="J185" i="31"/>
  <c r="F187" i="31"/>
  <c r="J81" i="31"/>
  <c r="J86" i="31" s="1"/>
  <c r="I81" i="31"/>
  <c r="I86" i="31" s="1"/>
  <c r="E176" i="31"/>
  <c r="D157" i="31"/>
  <c r="G157" i="31" s="1"/>
  <c r="I157" i="31" s="1"/>
  <c r="E146" i="31"/>
  <c r="D156" i="31"/>
  <c r="H195" i="31"/>
  <c r="I195" i="31" s="1"/>
  <c r="J195" i="31"/>
  <c r="J124" i="31"/>
  <c r="H94" i="31"/>
  <c r="F189" i="31" s="1"/>
  <c r="J196" i="31"/>
  <c r="H196" i="31"/>
  <c r="I196" i="31" s="1"/>
  <c r="F117" i="31"/>
  <c r="H117" i="31" s="1"/>
  <c r="J117" i="31" s="1"/>
  <c r="I117" i="31"/>
  <c r="D118" i="31"/>
  <c r="I118" i="31" s="1"/>
  <c r="F114" i="31"/>
  <c r="H114" i="31" s="1"/>
  <c r="F197" i="31"/>
  <c r="I169" i="31"/>
  <c r="I170" i="31" s="1"/>
  <c r="J169" i="31"/>
  <c r="J170" i="31" s="1"/>
  <c r="I115" i="31"/>
  <c r="F115" i="31"/>
  <c r="H115" i="31" s="1"/>
  <c r="J115" i="31" s="1"/>
  <c r="H186" i="31"/>
  <c r="I186" i="31" s="1"/>
  <c r="J54" i="31"/>
  <c r="J58" i="31" s="1"/>
  <c r="J60" i="31" s="1"/>
  <c r="J61" i="31" s="1"/>
  <c r="I54" i="31"/>
  <c r="I58" i="31" s="1"/>
  <c r="J174" i="31"/>
  <c r="I174" i="31"/>
  <c r="I60" i="31" l="1"/>
  <c r="I61" i="31" s="1"/>
  <c r="H119" i="31"/>
  <c r="F192" i="31" s="1"/>
  <c r="J114" i="31"/>
  <c r="J119" i="31" s="1"/>
  <c r="G156" i="31"/>
  <c r="I156" i="31" s="1"/>
  <c r="E158" i="31"/>
  <c r="I185" i="31"/>
  <c r="H176" i="31"/>
  <c r="A176" i="31"/>
  <c r="H187" i="31"/>
  <c r="I187" i="31" s="1"/>
  <c r="J187" i="31"/>
  <c r="I114" i="31"/>
  <c r="I119" i="31" s="1"/>
  <c r="J191" i="31"/>
  <c r="H191" i="31"/>
  <c r="I191" i="31" s="1"/>
  <c r="J189" i="31"/>
  <c r="H189" i="31"/>
  <c r="I189" i="31" s="1"/>
  <c r="F234" i="31"/>
  <c r="F235" i="31" s="1"/>
  <c r="J197" i="31"/>
  <c r="H197" i="31"/>
  <c r="I197" i="31" s="1"/>
  <c r="O234" i="30"/>
  <c r="M232" i="30"/>
  <c r="O231" i="30"/>
  <c r="M231" i="30"/>
  <c r="O230" i="30"/>
  <c r="M230" i="30"/>
  <c r="O229" i="30"/>
  <c r="M229" i="30"/>
  <c r="O228" i="30"/>
  <c r="M228" i="30"/>
  <c r="O227" i="30"/>
  <c r="M227" i="30"/>
  <c r="O226" i="30"/>
  <c r="M226" i="30"/>
  <c r="O225" i="30"/>
  <c r="M225" i="30"/>
  <c r="O224" i="30"/>
  <c r="M224" i="30"/>
  <c r="O223" i="30"/>
  <c r="M223" i="30"/>
  <c r="O222" i="30"/>
  <c r="M222" i="30"/>
  <c r="O221" i="30"/>
  <c r="M221" i="30"/>
  <c r="O220" i="30"/>
  <c r="M220" i="30"/>
  <c r="O219" i="30"/>
  <c r="M219" i="30"/>
  <c r="O218" i="30"/>
  <c r="M218" i="30"/>
  <c r="O217" i="30"/>
  <c r="M217" i="30"/>
  <c r="O216" i="30"/>
  <c r="M216" i="30"/>
  <c r="O215" i="30"/>
  <c r="M215" i="30"/>
  <c r="O214" i="30"/>
  <c r="M214" i="30"/>
  <c r="O213" i="30"/>
  <c r="M213" i="30"/>
  <c r="O203" i="30"/>
  <c r="M203" i="30"/>
  <c r="O202" i="30"/>
  <c r="M202" i="30"/>
  <c r="O201" i="30"/>
  <c r="M201" i="30"/>
  <c r="O200" i="30"/>
  <c r="M200" i="30"/>
  <c r="O199" i="30"/>
  <c r="M199" i="30"/>
  <c r="O198" i="30"/>
  <c r="M198" i="30"/>
  <c r="O197" i="30"/>
  <c r="M197" i="30"/>
  <c r="O196" i="30"/>
  <c r="M196" i="30"/>
  <c r="O195" i="30"/>
  <c r="M195" i="30"/>
  <c r="L180" i="30"/>
  <c r="K180" i="30"/>
  <c r="L178" i="30"/>
  <c r="K178" i="30"/>
  <c r="N158" i="30"/>
  <c r="K153" i="30"/>
  <c r="K152" i="30"/>
  <c r="M151" i="30"/>
  <c r="L151" i="30"/>
  <c r="O180" i="30" s="1"/>
  <c r="K151" i="30"/>
  <c r="N150" i="30"/>
  <c r="M150" i="30"/>
  <c r="M160" i="30"/>
  <c r="N160" i="30" s="1"/>
  <c r="L168" i="30"/>
  <c r="AV118" i="30"/>
  <c r="M153" i="30" s="1"/>
  <c r="K43" i="30"/>
  <c r="K44" i="30" s="1"/>
  <c r="AH5" i="30"/>
  <c r="R43" i="30" l="1"/>
  <c r="N135" i="30"/>
  <c r="P137" i="30" s="1"/>
  <c r="P138" i="30" s="1"/>
  <c r="P141" i="30" s="1"/>
  <c r="I176" i="31"/>
  <c r="F199" i="31"/>
  <c r="J176" i="31"/>
  <c r="H179" i="31"/>
  <c r="F236" i="31"/>
  <c r="E237" i="31" s="1"/>
  <c r="J192" i="31"/>
  <c r="H192" i="31"/>
  <c r="I192" i="31" s="1"/>
  <c r="P191" i="30"/>
  <c r="N194" i="30"/>
  <c r="M191" i="30"/>
  <c r="J190" i="30"/>
  <c r="N153" i="30"/>
  <c r="P153" i="30" s="1"/>
  <c r="N151" i="30"/>
  <c r="P151" i="30" s="1"/>
  <c r="O236" i="30"/>
  <c r="P158" i="30"/>
  <c r="P150" i="30"/>
  <c r="P168" i="30"/>
  <c r="O168" i="30"/>
  <c r="O173" i="30" s="1"/>
  <c r="O175" i="30" s="1"/>
  <c r="P160" i="30"/>
  <c r="L154" i="30"/>
  <c r="N154" i="30" s="1"/>
  <c r="O158" i="30"/>
  <c r="L170" i="30"/>
  <c r="O232" i="30"/>
  <c r="O235" i="30" s="1"/>
  <c r="O150" i="30"/>
  <c r="O155" i="30" s="1"/>
  <c r="O181" i="30"/>
  <c r="M161" i="30"/>
  <c r="N161" i="30" s="1"/>
  <c r="V43" i="30" l="1"/>
  <c r="V44" i="30" s="1"/>
  <c r="R44" i="30"/>
  <c r="J140" i="30"/>
  <c r="P140" i="30"/>
  <c r="O160" i="30"/>
  <c r="H127" i="31"/>
  <c r="H236" i="31"/>
  <c r="F194" i="31"/>
  <c r="J179" i="31"/>
  <c r="I179" i="31"/>
  <c r="J199" i="31"/>
  <c r="H199" i="31"/>
  <c r="I199" i="31" s="1"/>
  <c r="J205" i="31"/>
  <c r="N168" i="30"/>
  <c r="O153" i="30"/>
  <c r="O151" i="30"/>
  <c r="AU118" i="30"/>
  <c r="M152" i="30" s="1"/>
  <c r="N152" i="30" s="1"/>
  <c r="P152" i="30" s="1"/>
  <c r="P155" i="30"/>
  <c r="P161" i="30"/>
  <c r="O161" i="30"/>
  <c r="P154" i="30"/>
  <c r="O154" i="30"/>
  <c r="L172" i="30"/>
  <c r="O170" i="30"/>
  <c r="N170" i="30"/>
  <c r="P170" i="30"/>
  <c r="AO117" i="30" l="1"/>
  <c r="K159" i="30"/>
  <c r="N159" i="30" s="1"/>
  <c r="J194" i="31"/>
  <c r="J201" i="31" s="1"/>
  <c r="J203" i="31" s="1"/>
  <c r="H194" i="31"/>
  <c r="E201" i="31"/>
  <c r="J236" i="31"/>
  <c r="J237" i="31" s="1"/>
  <c r="I236" i="31"/>
  <c r="J127" i="31"/>
  <c r="I127" i="31"/>
  <c r="AU116" i="30"/>
  <c r="AU117" i="30" s="1"/>
  <c r="AV116" i="30"/>
  <c r="AV117" i="30" s="1"/>
  <c r="N155" i="30"/>
  <c r="O152" i="30"/>
  <c r="L169" i="30"/>
  <c r="P182" i="30" s="1"/>
  <c r="AS115" i="30"/>
  <c r="AS117" i="30"/>
  <c r="AS116" i="30"/>
  <c r="B159" i="30"/>
  <c r="P172" i="30"/>
  <c r="O172" i="30"/>
  <c r="N172" i="30"/>
  <c r="I194" i="31" l="1"/>
  <c r="I201" i="31" s="1"/>
  <c r="I203" i="31" s="1"/>
  <c r="H201" i="31"/>
  <c r="I237" i="31"/>
  <c r="G236" i="31"/>
  <c r="P169" i="30"/>
  <c r="O169" i="30"/>
  <c r="N169" i="30"/>
  <c r="P159" i="30"/>
  <c r="L171" i="30"/>
  <c r="O159" i="30"/>
  <c r="N162" i="30"/>
  <c r="H202" i="31" l="1"/>
  <c r="H203" i="31" s="1"/>
  <c r="E205" i="31" s="1"/>
  <c r="G190" i="31"/>
  <c r="G188" i="31"/>
  <c r="G195" i="31"/>
  <c r="G196" i="31"/>
  <c r="G198" i="31"/>
  <c r="G193" i="31"/>
  <c r="G200" i="31"/>
  <c r="G185" i="31"/>
  <c r="G186" i="31"/>
  <c r="G187" i="31"/>
  <c r="G189" i="31"/>
  <c r="G191" i="31"/>
  <c r="G197" i="31"/>
  <c r="G192" i="31"/>
  <c r="G199" i="31"/>
  <c r="G194" i="31"/>
  <c r="P162" i="30"/>
  <c r="O162" i="30"/>
  <c r="N171" i="30"/>
  <c r="N173" i="30" s="1"/>
  <c r="P171" i="30"/>
  <c r="P173" i="30" s="1"/>
  <c r="P175" i="30" s="1"/>
  <c r="O171" i="30"/>
  <c r="L173" i="30"/>
  <c r="P177" i="30"/>
  <c r="J207" i="31" l="1"/>
  <c r="E207" i="31"/>
  <c r="D207" i="31"/>
  <c r="D209" i="31" s="1"/>
  <c r="J206" i="31"/>
  <c r="G203" i="31"/>
  <c r="L174" i="30"/>
  <c r="L175" i="30" s="1"/>
  <c r="F207" i="31" l="1"/>
  <c r="F209" i="31" s="1"/>
  <c r="E209" i="31"/>
  <c r="K177" i="30"/>
  <c r="M168" i="30"/>
  <c r="M173" i="30" s="1"/>
  <c r="M170" i="30"/>
  <c r="M172" i="30"/>
  <c r="M169" i="30"/>
  <c r="M171" i="30"/>
  <c r="K179" i="30" l="1"/>
  <c r="J179" i="30"/>
  <c r="J181" i="30" s="1"/>
  <c r="P179" i="30"/>
  <c r="P178" i="30"/>
  <c r="M182" i="30"/>
  <c r="L179" i="30" l="1"/>
  <c r="L181" i="30" s="1"/>
  <c r="K181" i="3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Mark Nordquist</author>
    <author>Western Geophysical</author>
  </authors>
  <commentList>
    <comment ref="K150" authorId="0" shapeId="0" xr:uid="{00000000-0006-0000-0000-000002000000}">
      <text>
        <r>
          <rPr>
            <sz val="8"/>
            <color indexed="81"/>
            <rFont val="Tahoma"/>
            <family val="2"/>
          </rPr>
          <t>Hours One Way</t>
        </r>
      </text>
    </comment>
    <comment ref="L150" authorId="0" shapeId="0" xr:uid="{00000000-0006-0000-0000-000003000000}">
      <text>
        <r>
          <rPr>
            <sz val="8"/>
            <color indexed="81"/>
            <rFont val="Tahoma"/>
            <family val="2"/>
          </rPr>
          <t># of Days to Charge</t>
        </r>
      </text>
    </comment>
    <comment ref="K153" authorId="0" shapeId="0" xr:uid="{00000000-0006-0000-0000-000004000000}">
      <text>
        <r>
          <rPr>
            <sz val="8"/>
            <color indexed="81"/>
            <rFont val="Tahoma"/>
            <family val="2"/>
          </rPr>
          <t>Hours / Day</t>
        </r>
      </text>
    </comment>
    <comment ref="L153" authorId="0" shapeId="0" xr:uid="{00000000-0006-0000-0000-000005000000}">
      <text>
        <r>
          <rPr>
            <sz val="8"/>
            <color indexed="81"/>
            <rFont val="Tahoma"/>
            <family val="2"/>
          </rPr>
          <t># of Wx Days ?</t>
        </r>
      </text>
    </comment>
    <comment ref="I157" authorId="1" shapeId="0" xr:uid="{00000000-0006-0000-0000-000006000000}">
      <text>
        <r>
          <rPr>
            <b/>
            <u/>
            <sz val="8"/>
            <color indexed="81"/>
            <rFont val="Tahoma"/>
            <family val="2"/>
          </rPr>
          <t xml:space="preserve">
</t>
        </r>
        <r>
          <rPr>
            <b/>
            <sz val="8"/>
            <color indexed="10"/>
            <rFont val="Tahoma"/>
            <family val="2"/>
          </rPr>
          <t xml:space="preserve">(Peace Helicopter)
</t>
        </r>
        <r>
          <rPr>
            <b/>
            <sz val="9"/>
            <color indexed="12"/>
            <rFont val="Tahoma"/>
            <family val="2"/>
          </rPr>
          <t>206B
H500D
ASTAR-B
ASTAR-BA
ASTAR-B1
ASTAR-B2
B204
B205
B212</t>
        </r>
      </text>
    </comment>
    <comment ref="M157" authorId="1" shapeId="0" xr:uid="{00000000-0006-0000-0000-000007000000}">
      <text>
        <r>
          <rPr>
            <b/>
            <sz val="8"/>
            <color indexed="81"/>
            <rFont val="Tahoma"/>
            <family val="2"/>
          </rPr>
          <t>"</t>
        </r>
        <r>
          <rPr>
            <b/>
            <sz val="8"/>
            <color indexed="12"/>
            <rFont val="Tahoma"/>
            <family val="2"/>
          </rPr>
          <t>YES"</t>
        </r>
        <r>
          <rPr>
            <b/>
            <sz val="8"/>
            <color indexed="81"/>
            <rFont val="Tahoma"/>
            <family val="2"/>
          </rPr>
          <t xml:space="preserve">  if Fuel is </t>
        </r>
        <r>
          <rPr>
            <b/>
            <u/>
            <sz val="8"/>
            <color indexed="81"/>
            <rFont val="Tahoma"/>
            <family val="2"/>
          </rPr>
          <t>I</t>
        </r>
        <r>
          <rPr>
            <b/>
            <sz val="8"/>
            <color indexed="81"/>
            <rFont val="Tahoma"/>
            <family val="2"/>
          </rPr>
          <t xml:space="preserve">ncluded or              </t>
        </r>
        <r>
          <rPr>
            <b/>
            <sz val="8"/>
            <color indexed="81"/>
            <rFont val="Tahoma"/>
            <family val="2"/>
          </rPr>
          <t xml:space="preserve">
"</t>
        </r>
        <r>
          <rPr>
            <b/>
            <sz val="8"/>
            <color indexed="12"/>
            <rFont val="Tahoma"/>
            <family val="2"/>
          </rPr>
          <t>NO</t>
        </r>
        <r>
          <rPr>
            <b/>
            <sz val="8"/>
            <color indexed="81"/>
            <rFont val="Tahoma"/>
            <family val="2"/>
          </rPr>
          <t>" if Fuel is an Outside Cost</t>
        </r>
      </text>
    </comment>
    <comment ref="M159" authorId="0" shapeId="0" xr:uid="{00000000-0006-0000-0000-000008000000}">
      <text>
        <r>
          <rPr>
            <sz val="8"/>
            <color indexed="81"/>
            <rFont val="Tahoma"/>
            <family val="2"/>
          </rPr>
          <t>Enter Hours per Km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Mark Nordquist</author>
    <author>Western Geophysical</author>
  </authors>
  <commentList>
    <comment ref="A50" authorId="0" shapeId="0" xr:uid="{BEB4C191-1DAA-4628-82A3-DADBB0DE7BA5}">
      <text>
        <r>
          <rPr>
            <b/>
            <sz val="8"/>
            <color indexed="81"/>
            <rFont val="Tahoma"/>
            <family val="2"/>
          </rPr>
          <t>Mark Nordquist:</t>
        </r>
        <r>
          <rPr>
            <sz val="8"/>
            <color indexed="81"/>
            <rFont val="Tahoma"/>
            <family val="2"/>
          </rPr>
          <t xml:space="preserve">
Use this cell to calculate fuel for Mob/Demob Rate
Enter 0 if client supplies
enter 2 for 2 x fuel, 
enter 3 for 3 x fuel</t>
        </r>
      </text>
    </comment>
    <comment ref="D65" authorId="0" shapeId="0" xr:uid="{E87595FD-7C3A-4672-A5D9-1607F93D69F9}">
      <text>
        <r>
          <rPr>
            <sz val="8"/>
            <color indexed="81"/>
            <rFont val="Tahoma"/>
            <family val="2"/>
          </rPr>
          <t>Enter number Kms of  New Cat Cut line</t>
        </r>
      </text>
    </comment>
    <comment ref="E65" authorId="0" shapeId="0" xr:uid="{345BBE13-B12A-4CAD-A155-950D7B8720BB}">
      <text>
        <r>
          <rPr>
            <sz val="8"/>
            <color indexed="81"/>
            <rFont val="Tahoma"/>
            <family val="2"/>
          </rPr>
          <t xml:space="preserve">Kms of Handcut </t>
        </r>
      </text>
    </comment>
    <comment ref="F65" authorId="0" shapeId="0" xr:uid="{DE830A99-B48E-42C4-9536-FB9DCD903D9C}">
      <text>
        <r>
          <rPr>
            <sz val="8"/>
            <color indexed="81"/>
            <rFont val="Tahoma"/>
            <family val="2"/>
          </rPr>
          <t xml:space="preserve">Enter Number of Kms of Existing Line </t>
        </r>
      </text>
    </comment>
    <comment ref="G65" authorId="0" shapeId="0" xr:uid="{7F448B25-030E-434B-939D-12F7F1690ED1}">
      <text>
        <r>
          <rPr>
            <sz val="8"/>
            <color indexed="81"/>
            <rFont val="Tahoma"/>
            <family val="2"/>
          </rPr>
          <t>Enter Kms of  Farmland crossed 
(Cultivated and Un-cultivated)</t>
        </r>
      </text>
    </comment>
    <comment ref="H65" authorId="0" shapeId="0" xr:uid="{9E463F57-4117-4D6E-AF3F-5C89DFD6CAD0}">
      <text>
        <r>
          <rPr>
            <sz val="8"/>
            <color indexed="81"/>
            <rFont val="Tahoma"/>
            <family val="2"/>
          </rPr>
          <t>Enter number Kms of  New Cat Cut line</t>
        </r>
      </text>
    </comment>
    <comment ref="I65" authorId="0" shapeId="0" xr:uid="{B8E81808-1C26-47B3-97F8-C0CD7A772316}">
      <text>
        <r>
          <rPr>
            <sz val="8"/>
            <color indexed="81"/>
            <rFont val="Tahoma"/>
            <family val="2"/>
          </rPr>
          <t xml:space="preserve">Kms of Handcut </t>
        </r>
      </text>
    </comment>
    <comment ref="J65" authorId="0" shapeId="0" xr:uid="{DD53B55F-C7B1-4F43-B8EC-30480A65F78F}">
      <text>
        <r>
          <rPr>
            <sz val="8"/>
            <color indexed="81"/>
            <rFont val="Tahoma"/>
            <family val="2"/>
          </rPr>
          <t xml:space="preserve">Enter Number of Kms of Existing Line </t>
        </r>
      </text>
    </comment>
    <comment ref="A67" authorId="1" shapeId="0" xr:uid="{1FF98617-188C-4BCC-84FB-6C369727E66F}">
      <text>
        <r>
          <rPr>
            <sz val="8"/>
            <color indexed="81"/>
            <rFont val="Tahoma"/>
            <family val="2"/>
          </rPr>
          <t>Estimated Existing RECEIVER 
Line Percentage</t>
        </r>
      </text>
    </comment>
    <comment ref="E76" authorId="0" shapeId="0" xr:uid="{84F9B163-E7B6-45F5-A92A-865E90AE1957}">
      <text>
        <r>
          <rPr>
            <sz val="8"/>
            <color indexed="81"/>
            <rFont val="Tahoma"/>
            <family val="2"/>
          </rPr>
          <t>Enter Approximate Kms of Access Required</t>
        </r>
      </text>
    </comment>
    <comment ref="E77" authorId="0" shapeId="0" xr:uid="{3599F7F1-DF21-4B0B-ABAC-DDFED9B9EE4C}">
      <text>
        <r>
          <rPr>
            <sz val="8"/>
            <color indexed="81"/>
            <rFont val="Tahoma"/>
            <family val="2"/>
          </rPr>
          <t>Enter Estimated Number of Kms of Crop Damages (Include Source and Access Kms in fields which are culivated or Hay land</t>
        </r>
      </text>
    </comment>
    <comment ref="E78" authorId="0" shapeId="0" xr:uid="{45DC30D3-BD83-4D32-922F-C42DDAAF402E}">
      <text>
        <r>
          <rPr>
            <sz val="8"/>
            <color indexed="81"/>
            <rFont val="Tahoma"/>
            <family val="2"/>
          </rPr>
          <t>Enter Estimated Number of Fence Cuts</t>
        </r>
      </text>
    </comment>
    <comment ref="F81" authorId="0" shapeId="0" xr:uid="{2C932624-394E-413F-BAA1-70565AA7BAE3}">
      <text>
        <r>
          <rPr>
            <sz val="8"/>
            <color indexed="81"/>
            <rFont val="Tahoma"/>
            <family val="2"/>
          </rPr>
          <t>Cost / Hectare</t>
        </r>
      </text>
    </comment>
    <comment ref="F82" authorId="0" shapeId="0" xr:uid="{0C0EAC9C-9D62-4FE7-BCE9-D5C1F61FC81C}">
      <text>
        <r>
          <rPr>
            <sz val="8"/>
            <color indexed="81"/>
            <rFont val="Tahoma"/>
            <family val="2"/>
          </rPr>
          <t>Cost / Hectare</t>
        </r>
      </text>
    </comment>
    <comment ref="F83" authorId="0" shapeId="0" xr:uid="{416AE4D3-C7E0-494F-96AB-17959F428699}">
      <text>
        <r>
          <rPr>
            <sz val="8"/>
            <color indexed="81"/>
            <rFont val="Tahoma"/>
            <family val="2"/>
          </rPr>
          <t>Cost / Hectare</t>
        </r>
      </text>
    </comment>
    <comment ref="E84" authorId="0" shapeId="0" xr:uid="{C34DC46F-84AE-47D7-9C5F-8C3BE1447500}">
      <text>
        <r>
          <rPr>
            <sz val="8"/>
            <color indexed="81"/>
            <rFont val="Tahoma"/>
            <family val="2"/>
          </rPr>
          <t>Number of Kms to be re-seeded (estimated)</t>
        </r>
      </text>
    </comment>
    <comment ref="E85" authorId="0" shapeId="0" xr:uid="{FC9C7504-0A2A-4CE9-9B68-B17D3F69264C}">
      <text>
        <r>
          <rPr>
            <sz val="8"/>
            <color indexed="81"/>
            <rFont val="Tahoma"/>
            <family val="2"/>
          </rPr>
          <t>Number of Kms  Roll Back (estimated)</t>
        </r>
      </text>
    </comment>
    <comment ref="D89" authorId="0" shapeId="0" xr:uid="{E64115A9-F4AA-4B14-80B8-1DCC9B29E391}">
      <text>
        <r>
          <rPr>
            <sz val="8"/>
            <color indexed="81"/>
            <rFont val="Tahoma"/>
            <family val="2"/>
          </rPr>
          <t># of Dozers Total (Line Cutting)</t>
        </r>
      </text>
    </comment>
    <comment ref="E89" authorId="0" shapeId="0" xr:uid="{23E254F9-8733-499D-95A7-45F0941C8DC9}">
      <text>
        <r>
          <rPr>
            <sz val="8"/>
            <color indexed="81"/>
            <rFont val="Tahoma"/>
            <family val="2"/>
          </rPr>
          <t>Total Existing Kms</t>
        </r>
      </text>
    </comment>
    <comment ref="G89" authorId="0" shapeId="0" xr:uid="{EC3527E9-39A0-4A5A-BB58-EFFC95FD7C0F}">
      <text>
        <r>
          <rPr>
            <sz val="8"/>
            <color indexed="81"/>
            <rFont val="Tahoma"/>
            <family val="2"/>
          </rPr>
          <t>Average Kms / Day / Crew</t>
        </r>
      </text>
    </comment>
    <comment ref="E90" authorId="0" shapeId="0" xr:uid="{08F98680-BB43-4CBF-B346-64292424567D}">
      <text>
        <r>
          <rPr>
            <sz val="8"/>
            <color indexed="81"/>
            <rFont val="Tahoma"/>
            <family val="2"/>
          </rPr>
          <t>Total Kms Newcut (LIS)</t>
        </r>
      </text>
    </comment>
    <comment ref="G90" authorId="0" shapeId="0" xr:uid="{F7BECE4F-ACD1-4215-A72F-55A8EA5325D8}">
      <text>
        <r>
          <rPr>
            <sz val="8"/>
            <color indexed="81"/>
            <rFont val="Tahoma"/>
            <family val="2"/>
          </rPr>
          <t>Average Kms / Day / Crew</t>
        </r>
      </text>
    </comment>
    <comment ref="D91" authorId="0" shapeId="0" xr:uid="{67B284E8-E2EC-4603-A090-207C781EBB4B}">
      <text>
        <r>
          <rPr>
            <sz val="8"/>
            <color indexed="81"/>
            <rFont val="Tahoma"/>
            <family val="2"/>
          </rPr>
          <t>Number of Dozers Re-Snowplowing</t>
        </r>
      </text>
    </comment>
    <comment ref="E91" authorId="0" shapeId="0" xr:uid="{C791BBA0-E5C3-427F-8B8E-EF9F3D8A10AF}">
      <text>
        <r>
          <rPr>
            <sz val="8"/>
            <color indexed="81"/>
            <rFont val="Tahoma"/>
            <family val="2"/>
          </rPr>
          <t xml:space="preserve">Estimate  # Days </t>
        </r>
      </text>
    </comment>
    <comment ref="D92" authorId="0" shapeId="0" xr:uid="{38BB98BC-0B58-4114-AF74-5B4A8D3B1AC2}">
      <text>
        <r>
          <rPr>
            <sz val="8"/>
            <color indexed="81"/>
            <rFont val="Tahoma"/>
            <family val="2"/>
          </rPr>
          <t>Number of Dozers Required</t>
        </r>
      </text>
    </comment>
    <comment ref="E92" authorId="0" shapeId="0" xr:uid="{B55E44B5-2E63-4147-A66A-7B01B7E37FEE}">
      <text>
        <r>
          <rPr>
            <sz val="8"/>
            <color indexed="81"/>
            <rFont val="Tahoma"/>
            <family val="2"/>
          </rPr>
          <t xml:space="preserve">Estimated # Days </t>
        </r>
      </text>
    </comment>
    <comment ref="D97" authorId="0" shapeId="0" xr:uid="{F2C338B6-6AA6-4667-AD37-B10DB5150AD8}">
      <text>
        <r>
          <rPr>
            <sz val="8"/>
            <color indexed="81"/>
            <rFont val="Tahoma"/>
            <family val="2"/>
          </rPr>
          <t>No. of  Crews</t>
        </r>
      </text>
    </comment>
    <comment ref="E97" authorId="0" shapeId="0" xr:uid="{8B1E56CA-A6BA-491F-A185-B4D31783B404}">
      <text>
        <r>
          <rPr>
            <sz val="8"/>
            <color indexed="81"/>
            <rFont val="Tahoma"/>
            <family val="2"/>
          </rPr>
          <t>No. of Men / Crew</t>
        </r>
      </text>
    </comment>
    <comment ref="G97" authorId="0" shapeId="0" xr:uid="{52DB3580-8DD6-4AD5-81C1-AB34855FB43E}">
      <text>
        <r>
          <rPr>
            <sz val="8"/>
            <color indexed="81"/>
            <rFont val="Tahoma"/>
            <family val="2"/>
          </rPr>
          <t xml:space="preserve">Average Kms / Day </t>
        </r>
      </text>
    </comment>
    <comment ref="D98" authorId="0" shapeId="0" xr:uid="{124101B7-CA97-4647-B19E-9C5944CD3E30}">
      <text>
        <r>
          <rPr>
            <sz val="8"/>
            <color indexed="81"/>
            <rFont val="Tahoma"/>
            <family val="2"/>
          </rPr>
          <t>No. of Men</t>
        </r>
      </text>
    </comment>
    <comment ref="E98" authorId="0" shapeId="0" xr:uid="{D9B130D5-FF85-4621-AB75-3FC4624DE0B5}">
      <text>
        <r>
          <rPr>
            <sz val="8"/>
            <color indexed="81"/>
            <rFont val="Tahoma"/>
            <family val="2"/>
          </rPr>
          <t>No. of Men / Crew</t>
        </r>
      </text>
    </comment>
    <comment ref="G98" authorId="0" shapeId="0" xr:uid="{F1DA2453-742C-497E-AEBF-7C750D53C50B}">
      <text>
        <r>
          <rPr>
            <sz val="8"/>
            <color indexed="81"/>
            <rFont val="Tahoma"/>
            <family val="2"/>
          </rPr>
          <t xml:space="preserve">Average Kms / Day </t>
        </r>
      </text>
    </comment>
    <comment ref="D100" authorId="0" shapeId="0" xr:uid="{0FDFE14A-95B6-46A4-B32C-958B9CCD291B}">
      <text>
        <r>
          <rPr>
            <sz val="8"/>
            <color indexed="81"/>
            <rFont val="Tahoma"/>
            <family val="2"/>
          </rPr>
          <t>No. of Men</t>
        </r>
      </text>
    </comment>
    <comment ref="E100" authorId="0" shapeId="0" xr:uid="{BE68AD5A-9CBE-48D7-91F0-0977008F0FFE}">
      <text>
        <r>
          <rPr>
            <sz val="8"/>
            <color indexed="81"/>
            <rFont val="Tahoma"/>
            <family val="2"/>
          </rPr>
          <t>No. of Days</t>
        </r>
      </text>
    </comment>
    <comment ref="D102" authorId="0" shapeId="0" xr:uid="{16230EC8-4D73-4E43-91F3-32048ED43F48}">
      <text>
        <r>
          <rPr>
            <sz val="8"/>
            <color indexed="81"/>
            <rFont val="Tahoma"/>
            <family val="2"/>
          </rPr>
          <t>No. of Men</t>
        </r>
      </text>
    </comment>
    <comment ref="E102" authorId="0" shapeId="0" xr:uid="{B338AAAF-1630-4A7F-8114-45C3B936D9E3}">
      <text>
        <r>
          <rPr>
            <sz val="8"/>
            <color indexed="81"/>
            <rFont val="Tahoma"/>
            <family val="2"/>
          </rPr>
          <t>No. of Days</t>
        </r>
      </text>
    </comment>
    <comment ref="D106" authorId="0" shapeId="0" xr:uid="{F0C4CE6F-9678-4D06-97F6-092FB0712354}">
      <text>
        <r>
          <rPr>
            <sz val="8"/>
            <color indexed="81"/>
            <rFont val="Tahoma"/>
            <family val="2"/>
          </rPr>
          <t>No. of Men</t>
        </r>
      </text>
    </comment>
    <comment ref="E106" authorId="0" shapeId="0" xr:uid="{CC14E635-69AD-4D4B-8CAF-7D25A247EF2B}">
      <text>
        <r>
          <rPr>
            <sz val="8"/>
            <color indexed="81"/>
            <rFont val="Tahoma"/>
            <family val="2"/>
          </rPr>
          <t>No. of Days</t>
        </r>
      </text>
    </comment>
    <comment ref="D110" authorId="0" shapeId="0" xr:uid="{CDCAC551-9CC5-429D-B814-AD18FE9A7A4E}">
      <text>
        <r>
          <rPr>
            <sz val="8"/>
            <color indexed="81"/>
            <rFont val="Tahoma"/>
            <family val="2"/>
          </rPr>
          <t>No. of Men</t>
        </r>
      </text>
    </comment>
    <comment ref="E110" authorId="0" shapeId="0" xr:uid="{87ED2219-D6BF-4FA8-BCC6-67E5F8208B09}">
      <text>
        <r>
          <rPr>
            <sz val="8"/>
            <color indexed="81"/>
            <rFont val="Tahoma"/>
            <family val="2"/>
          </rPr>
          <t>No. of Days</t>
        </r>
      </text>
    </comment>
    <comment ref="E161" authorId="0" shapeId="0" xr:uid="{A8D2FAC9-6598-4038-895D-9DC2FAED3259}">
      <text>
        <r>
          <rPr>
            <sz val="8"/>
            <color indexed="81"/>
            <rFont val="Tahoma"/>
            <family val="2"/>
          </rPr>
          <t>Hours One Way</t>
        </r>
      </text>
    </comment>
    <comment ref="F161" authorId="0" shapeId="0" xr:uid="{22AEAFC8-8403-4821-87EE-38EAAD042767}">
      <text>
        <r>
          <rPr>
            <sz val="8"/>
            <color indexed="81"/>
            <rFont val="Tahoma"/>
            <family val="2"/>
          </rPr>
          <t># of Days to Charge</t>
        </r>
      </text>
    </comment>
    <comment ref="E164" authorId="0" shapeId="0" xr:uid="{BE69114B-3E28-4DBC-96FB-D0EBE02ABC91}">
      <text>
        <r>
          <rPr>
            <sz val="8"/>
            <color indexed="81"/>
            <rFont val="Tahoma"/>
            <family val="2"/>
          </rPr>
          <t>Hours / Day</t>
        </r>
      </text>
    </comment>
    <comment ref="F164" authorId="0" shapeId="0" xr:uid="{650120BE-FF31-4DD8-9EEE-BABBF59D1F6E}">
      <text>
        <r>
          <rPr>
            <sz val="8"/>
            <color indexed="81"/>
            <rFont val="Tahoma"/>
            <family val="2"/>
          </rPr>
          <t># of Wx Days ?</t>
        </r>
      </text>
    </comment>
    <comment ref="C172" authorId="1" shapeId="0" xr:uid="{8D75D16C-5E20-4474-936F-39F517C0186A}">
      <text>
        <r>
          <rPr>
            <b/>
            <u/>
            <sz val="8"/>
            <color indexed="81"/>
            <rFont val="Tahoma"/>
            <family val="2"/>
          </rPr>
          <t xml:space="preserve">
</t>
        </r>
        <r>
          <rPr>
            <b/>
            <sz val="8"/>
            <color indexed="10"/>
            <rFont val="Tahoma"/>
            <family val="2"/>
          </rPr>
          <t xml:space="preserve">(Peace Helicopter)
</t>
        </r>
        <r>
          <rPr>
            <b/>
            <sz val="9"/>
            <color indexed="12"/>
            <rFont val="Tahoma"/>
            <family val="2"/>
          </rPr>
          <t>206B
H500D
ASTAR-B
ASTAR-BA
ASTAR-B1
ASTAR-B2
B204
B205
B212</t>
        </r>
      </text>
    </comment>
    <comment ref="G172" authorId="1" shapeId="0" xr:uid="{95375882-FA2B-416F-972C-B71BE159C8CB}">
      <text>
        <r>
          <rPr>
            <b/>
            <sz val="8"/>
            <color indexed="81"/>
            <rFont val="Tahoma"/>
            <family val="2"/>
          </rPr>
          <t>"</t>
        </r>
        <r>
          <rPr>
            <b/>
            <sz val="8"/>
            <color indexed="12"/>
            <rFont val="Tahoma"/>
            <family val="2"/>
          </rPr>
          <t>YES"</t>
        </r>
        <r>
          <rPr>
            <b/>
            <sz val="8"/>
            <color indexed="81"/>
            <rFont val="Tahoma"/>
            <family val="2"/>
          </rPr>
          <t xml:space="preserve">  if Fuel is </t>
        </r>
        <r>
          <rPr>
            <b/>
            <u/>
            <sz val="8"/>
            <color indexed="81"/>
            <rFont val="Tahoma"/>
            <family val="2"/>
          </rPr>
          <t>I</t>
        </r>
        <r>
          <rPr>
            <b/>
            <sz val="8"/>
            <color indexed="81"/>
            <rFont val="Tahoma"/>
            <family val="2"/>
          </rPr>
          <t xml:space="preserve">ncluded or              </t>
        </r>
        <r>
          <rPr>
            <b/>
            <sz val="8"/>
            <color indexed="81"/>
            <rFont val="Tahoma"/>
            <family val="2"/>
          </rPr>
          <t xml:space="preserve">
"</t>
        </r>
        <r>
          <rPr>
            <b/>
            <sz val="8"/>
            <color indexed="12"/>
            <rFont val="Tahoma"/>
            <family val="2"/>
          </rPr>
          <t>NO</t>
        </r>
        <r>
          <rPr>
            <b/>
            <sz val="8"/>
            <color indexed="81"/>
            <rFont val="Tahoma"/>
            <family val="2"/>
          </rPr>
          <t>" if Fuel is an Outside Cost</t>
        </r>
      </text>
    </comment>
    <comment ref="G174" authorId="0" shapeId="0" xr:uid="{52D06EB8-DFCE-4442-B826-78C170AF420D}">
      <text>
        <r>
          <rPr>
            <sz val="8"/>
            <color indexed="81"/>
            <rFont val="Tahoma"/>
            <family val="2"/>
          </rPr>
          <t>Enter Hours per Km</t>
        </r>
      </text>
    </comment>
    <comment ref="G175" authorId="0" shapeId="0" xr:uid="{3F5C141D-0E21-41C7-9A20-0EC3CDA685AB}">
      <text>
        <r>
          <rPr>
            <sz val="8"/>
            <color indexed="81"/>
            <rFont val="Tahoma"/>
            <family val="2"/>
          </rPr>
          <t>Enter Hours per Km</t>
        </r>
      </text>
    </comment>
    <comment ref="G176" authorId="0" shapeId="0" xr:uid="{52AA73E1-8F72-401C-AA4B-E199E330AD45}">
      <text>
        <r>
          <rPr>
            <sz val="8"/>
            <color indexed="81"/>
            <rFont val="Tahoma"/>
            <family val="2"/>
          </rPr>
          <t>Enter Hours per Km</t>
        </r>
      </text>
    </comment>
  </commentList>
</comments>
</file>

<file path=xl/sharedStrings.xml><?xml version="1.0" encoding="utf-8"?>
<sst xmlns="http://schemas.openxmlformats.org/spreadsheetml/2006/main" count="1449" uniqueCount="695">
  <si>
    <t>CLIENT:</t>
  </si>
  <si>
    <t>DATE:</t>
  </si>
  <si>
    <t>PROVINCE:</t>
  </si>
  <si>
    <t>Km's Receiver Lines:</t>
  </si>
  <si>
    <t>(3D Bids)     # Receiver Lines:</t>
  </si>
  <si>
    <t># Source Lines:</t>
  </si>
  <si>
    <t>Km's Source Lines:</t>
  </si>
  <si>
    <t>(2D Bids)   Receiver Interval:</t>
  </si>
  <si>
    <t>S.P. Interval:</t>
  </si>
  <si>
    <t>Receiver Line Interval:</t>
  </si>
  <si>
    <t>Source Line Interval:</t>
  </si>
  <si>
    <t>Total Square Km's:</t>
  </si>
  <si>
    <t>Total Receiver points:</t>
  </si>
  <si>
    <t>Total /S.P.'s:</t>
  </si>
  <si>
    <t>Holes Per /S.P.:</t>
  </si>
  <si>
    <t>Hole Depth:</t>
  </si>
  <si>
    <t>Extra Hole per Line:</t>
  </si>
  <si>
    <t>Double Cap:</t>
  </si>
  <si>
    <t>Double Plug:</t>
  </si>
  <si>
    <t>Patch Size: (No. of Lines)</t>
  </si>
  <si>
    <t>x Rec.'s/Line</t>
  </si>
  <si>
    <t>Channels</t>
  </si>
  <si>
    <t>x</t>
  </si>
  <si>
    <t>Party Manager</t>
  </si>
  <si>
    <t>Clerk</t>
  </si>
  <si>
    <t>Mechanic</t>
  </si>
  <si>
    <t>Shooters</t>
  </si>
  <si>
    <t>Shooter's Helpers</t>
  </si>
  <si>
    <t>Line Boss</t>
  </si>
  <si>
    <t>Recorder Helpers</t>
  </si>
  <si>
    <t>Night Watchman</t>
  </si>
  <si>
    <t>AMOUNT</t>
  </si>
  <si>
    <t>DAILY COST</t>
  </si>
  <si>
    <t>A.T.V./QUADS</t>
  </si>
  <si>
    <t>No. Sweeps:</t>
  </si>
  <si>
    <t>Move-up  Between Sweeps:</t>
  </si>
  <si>
    <t>Sweep Length:</t>
  </si>
  <si>
    <t>Listen Time:</t>
  </si>
  <si>
    <t>Vibrator Technician</t>
  </si>
  <si>
    <t>Vibrator Operators</t>
  </si>
  <si>
    <t>DAYS</t>
  </si>
  <si>
    <t>TOTAL COST</t>
  </si>
  <si>
    <t>TRUCKING</t>
  </si>
  <si>
    <t>Equipment Trailers</t>
  </si>
  <si>
    <t>Motel - Single Rooms</t>
  </si>
  <si>
    <t>Motel - Double Rooms</t>
  </si>
  <si>
    <t>Recording Days Calculation</t>
  </si>
  <si>
    <t>DYNAMITE</t>
  </si>
  <si>
    <t>VIBRATORS</t>
  </si>
  <si>
    <t>Shotpoints/Day (Average):</t>
  </si>
  <si>
    <t>Extra Days (Layout &amp; Pick-up):</t>
  </si>
  <si>
    <t>Seconds Move-up Between VPs:</t>
  </si>
  <si>
    <r>
      <t>Total Amount of Pad Time Required:</t>
    </r>
    <r>
      <rPr>
        <sz val="8"/>
        <rFont val="Arial"/>
        <family val="2"/>
      </rPr>
      <t xml:space="preserve"> (Pad Time per VP x Total VPs in Program)</t>
    </r>
  </si>
  <si>
    <t>=</t>
  </si>
  <si>
    <t>Total Seconds</t>
  </si>
  <si>
    <t xml:space="preserve">Crew Hrs </t>
  </si>
  <si>
    <t xml:space="preserve">Field Travel Hrs </t>
  </si>
  <si>
    <t xml:space="preserve">Start up Hrs </t>
  </si>
  <si>
    <t xml:space="preserve">Total Days For Program: </t>
  </si>
  <si>
    <t xml:space="preserve">Dynamite Recording </t>
  </si>
  <si>
    <t xml:space="preserve">Detour Hrs </t>
  </si>
  <si>
    <t>Vibroseis Recording</t>
  </si>
  <si>
    <t xml:space="preserve">Move Up Hrs </t>
  </si>
  <si>
    <t xml:space="preserve">Average Kms per Day: </t>
  </si>
  <si>
    <t>Total Recording Days:</t>
  </si>
  <si>
    <t xml:space="preserve">Vib Hrs / Day </t>
  </si>
  <si>
    <t xml:space="preserve">Average V.P. per Day: </t>
  </si>
  <si>
    <t>RECORDING</t>
  </si>
  <si>
    <t>Mob/Demob</t>
  </si>
  <si>
    <t>Weather Days</t>
  </si>
  <si>
    <t>Recording</t>
  </si>
  <si>
    <t>TOTAL ESTIMATED COST</t>
  </si>
  <si>
    <t>TOTAL TURNKEY COST</t>
  </si>
  <si>
    <t>CANADIAN</t>
  </si>
  <si>
    <t>DOLLARS</t>
  </si>
  <si>
    <t>US DOLLARS</t>
  </si>
  <si>
    <t>Fuel - Recording</t>
  </si>
  <si>
    <t>Fuel - Vibrators</t>
  </si>
  <si>
    <t>RATE/HOUR</t>
  </si>
  <si>
    <t>COST/S.P.</t>
  </si>
  <si>
    <t>COST/KM.</t>
  </si>
  <si>
    <t>RATE /HOUR</t>
  </si>
  <si>
    <t>HOURS</t>
  </si>
  <si>
    <t>RATE/DAY</t>
  </si>
  <si>
    <t>Turnkey</t>
  </si>
  <si>
    <t>Receiver Points/Day (Average):</t>
  </si>
  <si>
    <r>
      <t>Kgs per Hole</t>
    </r>
    <r>
      <rPr>
        <sz val="9"/>
        <color indexed="8"/>
        <rFont val="Arial"/>
        <family val="2"/>
      </rPr>
      <t xml:space="preserve"> ("0" if Vib Job)=&gt;</t>
    </r>
    <r>
      <rPr>
        <b/>
        <sz val="9"/>
        <color indexed="8"/>
        <rFont val="Arial"/>
        <family val="2"/>
      </rPr>
      <t>:</t>
    </r>
  </si>
  <si>
    <t>OVERHEAD</t>
  </si>
  <si>
    <t>Recording Costs:</t>
  </si>
  <si>
    <t>Helicopter - Recording:</t>
  </si>
  <si>
    <t>Helicopter - Other:</t>
  </si>
  <si>
    <t>ITEM</t>
  </si>
  <si>
    <t>TOTAL COSTS</t>
  </si>
  <si>
    <t>INSIDE</t>
  </si>
  <si>
    <t>SUMMARY PAGE</t>
  </si>
  <si>
    <t>Crew No.</t>
  </si>
  <si>
    <t>COST/PT.</t>
  </si>
  <si>
    <t>NO</t>
  </si>
  <si>
    <t>WX DAYS</t>
  </si>
  <si>
    <t>NO. OF</t>
  </si>
  <si>
    <t xml:space="preserve"> RATE</t>
  </si>
  <si>
    <t>Assist.Party Manager</t>
  </si>
  <si>
    <t>PERSONNEL</t>
  </si>
  <si>
    <t>% USED FOR NIGHTSHIFT</t>
  </si>
  <si>
    <t>DAYSHIFT</t>
  </si>
  <si>
    <t>NIGHTSHIFT</t>
  </si>
  <si>
    <t>WEATHER/STANDBY</t>
  </si>
  <si>
    <t>Hotshot</t>
  </si>
  <si>
    <t>RATE/HR</t>
  </si>
  <si>
    <t>COST/HR</t>
  </si>
  <si>
    <t>RATE/UNIT</t>
  </si>
  <si>
    <r>
      <t xml:space="preserve">Field Days to Shoot - </t>
    </r>
    <r>
      <rPr>
        <b/>
        <sz val="9"/>
        <rFont val="Arial"/>
        <family val="2"/>
      </rPr>
      <t>DAYSHIFT</t>
    </r>
  </si>
  <si>
    <r>
      <t xml:space="preserve">Field Days to Shoot - </t>
    </r>
    <r>
      <rPr>
        <b/>
        <sz val="9"/>
        <rFont val="Arial"/>
        <family val="2"/>
      </rPr>
      <t>NIGHTSHIFT</t>
    </r>
  </si>
  <si>
    <t>Mob/Demob Rate</t>
  </si>
  <si>
    <t>Pilot/Engineer Accomodations</t>
  </si>
  <si>
    <t>Wx Day</t>
  </si>
  <si>
    <t>Mob</t>
  </si>
  <si>
    <t>ENTER NUMBERS TO USE IN BID:</t>
  </si>
  <si>
    <t xml:space="preserve"> &lt;= Avg. Hrs/Day Flying</t>
  </si>
  <si>
    <t>FUEL</t>
  </si>
  <si>
    <t>ASTAR-B2</t>
  </si>
  <si>
    <t>Total Groups</t>
  </si>
  <si>
    <t>Hours / Day Worked</t>
  </si>
  <si>
    <t>Men / Crew</t>
  </si>
  <si>
    <t>Group / Hour         / Person</t>
  </si>
  <si>
    <t>Groups / Day                   / Person</t>
  </si>
  <si>
    <t>SP's / Day / Shooter:</t>
  </si>
  <si>
    <t>Groups Layout / Day:</t>
  </si>
  <si>
    <t>Groups Pickup / Day:</t>
  </si>
  <si>
    <t>SHOOT ALL LIVE:</t>
  </si>
  <si>
    <r>
      <t>&lt;</t>
    </r>
    <r>
      <rPr>
        <sz val="8"/>
        <rFont val="Arial"/>
        <family val="2"/>
      </rPr>
      <t>==</t>
    </r>
    <r>
      <rPr>
        <sz val="6"/>
        <rFont val="Arial"/>
        <family val="2"/>
      </rPr>
      <t xml:space="preserve"> (YES/NO)</t>
    </r>
  </si>
  <si>
    <t>HRS/DAY</t>
  </si>
  <si>
    <t># Crews</t>
  </si>
  <si>
    <t>ZIPPER REQUIRED:</t>
  </si>
  <si>
    <t>Additional Stations to Re-Lay:</t>
  </si>
  <si>
    <t>No. of  Zippers</t>
  </si>
  <si>
    <t>Groups / Swath</t>
  </si>
  <si>
    <t>No. of Receiver Lines</t>
  </si>
  <si>
    <t>RECORDING DAYS</t>
  </si>
  <si>
    <t>TOTAL PAD TIME:</t>
  </si>
  <si>
    <t xml:space="preserve">Total Pad Time per VP: </t>
  </si>
  <si>
    <t>PROV. TAX:</t>
  </si>
  <si>
    <t>PERCENT OF       COST</t>
  </si>
  <si>
    <t>Total Kms (all Inclusive):</t>
  </si>
  <si>
    <t>Co-ordinator</t>
  </si>
  <si>
    <t>Repairs &amp; Maint.</t>
  </si>
  <si>
    <t>Cost per Receiver Point:</t>
  </si>
  <si>
    <t>REC PT/HR</t>
  </si>
  <si>
    <t>RATE HR/PT</t>
  </si>
  <si>
    <t>Cost per Source Point:</t>
  </si>
  <si>
    <t>Cost per Receiver Point Rec. Only:</t>
  </si>
  <si>
    <t>$/Rec. Pt.</t>
  </si>
  <si>
    <t>COST PER KILOMETER</t>
  </si>
  <si>
    <t>Total Number of Days</t>
  </si>
  <si>
    <t>Profit</t>
  </si>
  <si>
    <t>Recording Crew moves</t>
  </si>
  <si>
    <t>YES</t>
  </si>
  <si>
    <t>Management Fee</t>
  </si>
  <si>
    <t>Trucking (Equipment Highboy):</t>
  </si>
  <si>
    <t>Recording Mob/Demob:</t>
  </si>
  <si>
    <t>DynaNav</t>
  </si>
  <si>
    <t>(# Sweeps x (Sweep Length + Listen Time))+(# Moves x Move up/Sweep) =</t>
  </si>
  <si>
    <t>Profit Margins</t>
  </si>
  <si>
    <t>Helicopter In</t>
  </si>
  <si>
    <t>Without Helicopter</t>
  </si>
  <si>
    <t>HSE Advisor</t>
  </si>
  <si>
    <t>Rental Geophones</t>
  </si>
  <si>
    <t>HELICOPTER EXPENSE</t>
  </si>
  <si>
    <t>COST PER REC. POINT</t>
  </si>
  <si>
    <t>COST PER SOUR POINT</t>
  </si>
  <si>
    <t>H550D</t>
  </si>
  <si>
    <t>UTV's/Kubotas</t>
  </si>
  <si>
    <t>TOTAL</t>
  </si>
  <si>
    <t>Rotation</t>
  </si>
  <si>
    <t>Trouble Shooters/Viewers</t>
  </si>
  <si>
    <t>Fuel Driver</t>
  </si>
  <si>
    <t>Staging Helpers</t>
  </si>
  <si>
    <t>AB</t>
  </si>
  <si>
    <t>Fuel Truck/Picker Truck</t>
  </si>
  <si>
    <t xml:space="preserve">Stat Holiday </t>
  </si>
  <si>
    <t>CREW DEPLOYMENT SHEET</t>
  </si>
  <si>
    <t>DESCRIPTION</t>
  </si>
  <si>
    <t>SYSTEM</t>
  </si>
  <si>
    <t>BOX</t>
  </si>
  <si>
    <t>BATTERY</t>
  </si>
  <si>
    <t>CABLE</t>
  </si>
  <si>
    <t>GEOPHONE</t>
  </si>
  <si>
    <t>BLASTERS</t>
  </si>
  <si>
    <t>none</t>
  </si>
  <si>
    <t>BOXES</t>
  </si>
  <si>
    <t>ARAM</t>
  </si>
  <si>
    <t>ARIES</t>
  </si>
  <si>
    <t>72 meter</t>
  </si>
  <si>
    <t>O.N.E.</t>
  </si>
  <si>
    <t>BOOM BOX</t>
  </si>
  <si>
    <t>IVI MINI</t>
  </si>
  <si>
    <t>TYPE</t>
  </si>
  <si>
    <t>HUMAN RESOURCES</t>
  </si>
  <si>
    <t>NAME</t>
  </si>
  <si>
    <t>BATTERIES</t>
  </si>
  <si>
    <t>GSR</t>
  </si>
  <si>
    <t>TAP</t>
  </si>
  <si>
    <t>LiPO</t>
  </si>
  <si>
    <t>36 meter</t>
  </si>
  <si>
    <t>3 Per</t>
  </si>
  <si>
    <t>SHOT PRO</t>
  </si>
  <si>
    <t>IVI 50,000</t>
  </si>
  <si>
    <t>GEOPHONES</t>
  </si>
  <si>
    <t>INOVA</t>
  </si>
  <si>
    <t>GSX1</t>
  </si>
  <si>
    <t>BX10</t>
  </si>
  <si>
    <t>22 meter</t>
  </si>
  <si>
    <t>6 Per</t>
  </si>
  <si>
    <t>Austin</t>
  </si>
  <si>
    <t>IVI 60,000</t>
  </si>
  <si>
    <t>CABLES</t>
  </si>
  <si>
    <t>SERCEL</t>
  </si>
  <si>
    <t>GSX3</t>
  </si>
  <si>
    <t>HAWK</t>
  </si>
  <si>
    <t>3 C</t>
  </si>
  <si>
    <t>Dyno Nobel</t>
  </si>
  <si>
    <t>Explosives Ltd</t>
  </si>
  <si>
    <t>ADVANCE II</t>
  </si>
  <si>
    <t>3C DRILLS</t>
  </si>
  <si>
    <t>Maxam</t>
  </si>
  <si>
    <t>FORCE II</t>
  </si>
  <si>
    <t>PLANTING POLE</t>
  </si>
  <si>
    <t>VIBE PRO</t>
  </si>
  <si>
    <t>Cables</t>
  </si>
  <si>
    <t>Equipment Van</t>
  </si>
  <si>
    <t>SOURCE EQUIPMENT</t>
  </si>
  <si>
    <t>Charging Van</t>
  </si>
  <si>
    <t>Blasters</t>
  </si>
  <si>
    <t>Vibrator Electronics</t>
  </si>
  <si>
    <t>Daily Field Total</t>
  </si>
  <si>
    <t>PERIPHERAL EQUIPMENT</t>
  </si>
  <si>
    <t>PARAMETERS</t>
  </si>
  <si>
    <t>Crew Total</t>
  </si>
  <si>
    <t>Planting Pole</t>
  </si>
  <si>
    <t>Scripting</t>
  </si>
  <si>
    <t>hr</t>
  </si>
  <si>
    <t>3C Drills</t>
  </si>
  <si>
    <t>Cycle Time</t>
  </si>
  <si>
    <t>HSE REQUIREMENTS</t>
  </si>
  <si>
    <t>Bag Runner</t>
  </si>
  <si>
    <t>Pre Amp Gain</t>
  </si>
  <si>
    <t>dB</t>
  </si>
  <si>
    <t>Heli Bags</t>
  </si>
  <si>
    <t>Sample Rate</t>
  </si>
  <si>
    <t>ms</t>
  </si>
  <si>
    <t>Line Viewers</t>
  </si>
  <si>
    <t>GPS</t>
  </si>
  <si>
    <t>ERP on file</t>
  </si>
  <si>
    <t>Radios</t>
  </si>
  <si>
    <t>Hazard Assessment on file</t>
  </si>
  <si>
    <t>Crew Supervisor</t>
  </si>
  <si>
    <t>HSE Supervisor</t>
  </si>
  <si>
    <t>Technical Advisor</t>
  </si>
  <si>
    <t>Special Training Requirements</t>
  </si>
  <si>
    <t>Special PPE Requirements</t>
  </si>
  <si>
    <t>24 hour Operations</t>
  </si>
  <si>
    <t>JOBNAME:</t>
  </si>
  <si>
    <t>Quad / UTV Trailers</t>
  </si>
  <si>
    <t>Comments:</t>
  </si>
  <si>
    <t>Boat</t>
  </si>
  <si>
    <t>Floats</t>
  </si>
  <si>
    <t>O-Seis?</t>
  </si>
  <si>
    <t>Heli - Assist?</t>
  </si>
  <si>
    <t>ADDITIONAL  REQUIREMENTS</t>
  </si>
  <si>
    <t>Merge Operator</t>
  </si>
  <si>
    <t>FMC Operator</t>
  </si>
  <si>
    <t>Electronic Detonators (O-Seis)</t>
  </si>
  <si>
    <t xml:space="preserve">Crew Trucks - F150 </t>
  </si>
  <si>
    <t xml:space="preserve">Crew Trucks - F250/F350 </t>
  </si>
  <si>
    <t>Vibrators - Mini IVI</t>
  </si>
  <si>
    <t>Vibrators - Y2400</t>
  </si>
  <si>
    <t>Vibrators - ATS 60</t>
  </si>
  <si>
    <t>Vibrators - Other</t>
  </si>
  <si>
    <t xml:space="preserve">Party Manager / Personal </t>
  </si>
  <si>
    <t>TRAILERS</t>
  </si>
  <si>
    <t>FMC Truck</t>
  </si>
  <si>
    <t>Merge Trailer</t>
  </si>
  <si>
    <t>Marketing</t>
  </si>
  <si>
    <t>Field Service Tech</t>
  </si>
  <si>
    <t xml:space="preserve">(Client Supplies Subsitance only)  </t>
  </si>
  <si>
    <t xml:space="preserve">(Client Supplies Subsistance and Fuel)  </t>
  </si>
  <si>
    <t xml:space="preserve">(Eagle supplies Subsistance and Fuel)  </t>
  </si>
  <si>
    <t xml:space="preserve"> MAX WEATHER/STANDBY</t>
  </si>
  <si>
    <t>LOCATION:</t>
  </si>
  <si>
    <t>AREA:</t>
  </si>
  <si>
    <t>BC</t>
  </si>
  <si>
    <t>DAYSHIFT CALCULATIONS</t>
  </si>
  <si>
    <t>NIGHTSHIFT CACULATIONS</t>
  </si>
  <si>
    <t>WEATHER CALCULATIONS</t>
  </si>
  <si>
    <t>ALBERTA</t>
  </si>
  <si>
    <t>BRITTISH COLUMBIA</t>
  </si>
  <si>
    <t>SASKATCHEWAN</t>
  </si>
  <si>
    <t>MANITOBA</t>
  </si>
  <si>
    <t>Observer</t>
  </si>
  <si>
    <t>Junior Observer</t>
  </si>
  <si>
    <t>Equipment coordinator</t>
  </si>
  <si>
    <t>Staging Helper</t>
  </si>
  <si>
    <t>Trouble Shooters</t>
  </si>
  <si>
    <t>Fuel Man</t>
  </si>
  <si>
    <t>EQUIPMENT  &amp; INSTRUMENTS</t>
  </si>
  <si>
    <t>Extra Tape Transport</t>
  </si>
  <si>
    <t>Paper - Used/Day</t>
  </si>
  <si>
    <t>Cost per channel</t>
  </si>
  <si>
    <t>Aram Mark II</t>
  </si>
  <si>
    <t>Box Repair</t>
  </si>
  <si>
    <t>Phone/Cable Repair</t>
  </si>
  <si>
    <t>Cable Rental</t>
  </si>
  <si>
    <t>EQUIPMENT</t>
  </si>
  <si>
    <t>Trucks on Crew</t>
  </si>
  <si>
    <t>Vibrator Tech Truck</t>
  </si>
  <si>
    <t>Vib Crew Truck</t>
  </si>
  <si>
    <t>Vibrators</t>
  </si>
  <si>
    <t>Motel-Crew Office</t>
  </si>
  <si>
    <t># ROOMS</t>
  </si>
  <si>
    <t xml:space="preserve">(Includes Fuel and Hotshot)  </t>
  </si>
  <si>
    <t xml:space="preserve">(Client Supplies Fuel and Hotshot)  </t>
  </si>
  <si>
    <t>TURNKEY BID</t>
  </si>
  <si>
    <t>WHITE AREA</t>
  </si>
  <si>
    <t>GREEN AREA</t>
  </si>
  <si>
    <t xml:space="preserve"> Cat Cut</t>
  </si>
  <si>
    <t xml:space="preserve"> Handcut</t>
  </si>
  <si>
    <t xml:space="preserve"> Existing</t>
  </si>
  <si>
    <t xml:space="preserve"> Farm Land</t>
  </si>
  <si>
    <t xml:space="preserve"> Source Line</t>
  </si>
  <si>
    <t xml:space="preserve"> Receiver Line</t>
  </si>
  <si>
    <t xml:space="preserve">Totals </t>
  </si>
  <si>
    <t xml:space="preserve">PERMITTING </t>
  </si>
  <si>
    <t>NO.</t>
  </si>
  <si>
    <t>KMS</t>
  </si>
  <si>
    <t>RATE</t>
  </si>
  <si>
    <t>Avg Kms</t>
  </si>
  <si>
    <t>Prelimary/Final Services</t>
  </si>
  <si>
    <t>Permitmen</t>
  </si>
  <si>
    <r>
      <t>Permit Fees-</t>
    </r>
    <r>
      <rPr>
        <sz val="8"/>
        <rFont val="Arial"/>
        <family val="2"/>
      </rPr>
      <t>White Area</t>
    </r>
  </si>
  <si>
    <t>Source</t>
  </si>
  <si>
    <t>/mile</t>
  </si>
  <si>
    <t>Reciever</t>
  </si>
  <si>
    <t>Access</t>
  </si>
  <si>
    <t>Damages - Crop Damages</t>
  </si>
  <si>
    <t>Damages - Fence  Cuts</t>
  </si>
  <si>
    <t>/Cut</t>
  </si>
  <si>
    <t>Road Use Damages</t>
  </si>
  <si>
    <t>Stumpage - Cat Cut</t>
  </si>
  <si>
    <t>Stumpage - Hand Cut</t>
  </si>
  <si>
    <t>Stumpage - Helipads</t>
  </si>
  <si>
    <t>Re-Seeding</t>
  </si>
  <si>
    <t>Rollback</t>
  </si>
  <si>
    <t>LINE CUTTING</t>
  </si>
  <si>
    <t># CATS</t>
  </si>
  <si>
    <r>
      <t xml:space="preserve">Dozers </t>
    </r>
    <r>
      <rPr>
        <b/>
        <sz val="9"/>
        <rFont val="Arial"/>
        <family val="2"/>
      </rPr>
      <t>Existing</t>
    </r>
  </si>
  <si>
    <r>
      <t xml:space="preserve">Dozers </t>
    </r>
    <r>
      <rPr>
        <b/>
        <sz val="9"/>
        <rFont val="Arial"/>
        <family val="2"/>
      </rPr>
      <t>N/C LIS</t>
    </r>
  </si>
  <si>
    <t>Snowplowing/Drag</t>
  </si>
  <si>
    <t xml:space="preserve">Weather </t>
  </si>
  <si>
    <t>DOZING &amp; SLASHING ALL INCLUSIVE</t>
  </si>
  <si>
    <t>&lt;=Cost/Km</t>
  </si>
  <si>
    <t>SURVEY</t>
  </si>
  <si>
    <t># CREWS</t>
  </si>
  <si>
    <r>
      <t>Survey -</t>
    </r>
    <r>
      <rPr>
        <b/>
        <sz val="9"/>
        <rFont val="Arial"/>
        <family val="2"/>
      </rPr>
      <t xml:space="preserve"> Turnkey</t>
    </r>
    <r>
      <rPr>
        <b/>
        <sz val="8"/>
        <rFont val="Arial"/>
        <family val="2"/>
      </rPr>
      <t xml:space="preserve"> </t>
    </r>
  </si>
  <si>
    <t xml:space="preserve"> </t>
  </si>
  <si>
    <t>Pipe Locating</t>
  </si>
  <si>
    <t>Remodeling - Skids/Offsets</t>
  </si>
  <si>
    <t>Cat Push</t>
  </si>
  <si>
    <t>Mapper</t>
  </si>
  <si>
    <r>
      <t>ADVANCE</t>
    </r>
    <r>
      <rPr>
        <b/>
        <sz val="8"/>
        <rFont val="Arial"/>
        <family val="2"/>
      </rPr>
      <t/>
    </r>
  </si>
  <si>
    <t>No. MEN</t>
  </si>
  <si>
    <t>Project Manager</t>
  </si>
  <si>
    <t>Field Administrator</t>
  </si>
  <si>
    <t>Drill Push</t>
  </si>
  <si>
    <t>Monitors</t>
  </si>
  <si>
    <t>Medic &amp; Ambulance</t>
  </si>
  <si>
    <t>DRILLING</t>
  </si>
  <si>
    <t># SP's</t>
  </si>
  <si>
    <t># DRILLS</t>
  </si>
  <si>
    <t>METERS/DAYS</t>
  </si>
  <si>
    <t>$/METER/DAY</t>
  </si>
  <si>
    <t>Meters - Wheeled</t>
  </si>
  <si>
    <t>Meters - Buggy/Track</t>
  </si>
  <si>
    <t>Meters - LIS</t>
  </si>
  <si>
    <t>Meters - Heliportable</t>
  </si>
  <si>
    <t>Water Truck</t>
  </si>
  <si>
    <t>DOWN HOLE SUPPLIES</t>
  </si>
  <si>
    <t>Bentonite</t>
  </si>
  <si>
    <t>Trucking - Bentonite (Round Trip - Kms)</t>
  </si>
  <si>
    <t>EXPLOSIVES</t>
  </si>
  <si>
    <t>D</t>
  </si>
  <si>
    <t>Dozers</t>
  </si>
  <si>
    <t>Drills</t>
  </si>
  <si>
    <t>Cats &amp; Drills</t>
  </si>
  <si>
    <t xml:space="preserve">CAMP </t>
  </si>
  <si>
    <t>NO. of Men</t>
  </si>
  <si>
    <t xml:space="preserve"> Personnel</t>
  </si>
  <si>
    <t>(# Sweeps x (Sweep Lenght + Listen Time))+(# Moves x Move up/Sweep) =</t>
  </si>
  <si>
    <t>Bus (Charter)</t>
  </si>
  <si>
    <t>other</t>
  </si>
  <si>
    <t>KODIAK BAG PLACEMENT</t>
  </si>
  <si>
    <t>P580 Allocation</t>
  </si>
  <si>
    <t>Processing - Total SP's</t>
  </si>
  <si>
    <t>HELICOPTER</t>
  </si>
  <si>
    <t>INCLUDED</t>
  </si>
  <si>
    <t>SUPPLIED</t>
  </si>
  <si>
    <t>206B</t>
  </si>
  <si>
    <t>Slashing</t>
  </si>
  <si>
    <t>ASTAR-B1</t>
  </si>
  <si>
    <t>H500D</t>
  </si>
  <si>
    <t>Survey</t>
  </si>
  <si>
    <t>ASTAR-B</t>
  </si>
  <si>
    <t>ASTAR-BA</t>
  </si>
  <si>
    <t>DyanNav</t>
  </si>
  <si>
    <t>B204</t>
  </si>
  <si>
    <t>B205</t>
  </si>
  <si>
    <t>B212</t>
  </si>
  <si>
    <t>INSIDE          COST</t>
  </si>
  <si>
    <t>COST PER         SOURCE POINT</t>
  </si>
  <si>
    <t>Approval &amp; Permitting Costs:</t>
  </si>
  <si>
    <t>Permits Fees &amp; Crop Damages:</t>
  </si>
  <si>
    <t>Stumpage Fees:</t>
  </si>
  <si>
    <t>Advance Costs:</t>
  </si>
  <si>
    <t>Bulldozing &amp; Line Cutting Costs:</t>
  </si>
  <si>
    <t>Medic &amp; Ambulance:</t>
  </si>
  <si>
    <t>Survey Costs:</t>
  </si>
  <si>
    <t>Drilling costs:</t>
  </si>
  <si>
    <t>Down Hole Extras (Gravel Tamp, Bentonite, etc.)</t>
  </si>
  <si>
    <t>Explosives &amp; Expendables:</t>
  </si>
  <si>
    <t>Trucking (Cats/Drills/etc):</t>
  </si>
  <si>
    <t>Recording Mob/Demob &amp; Trucking Highboys:</t>
  </si>
  <si>
    <t>Contingency</t>
  </si>
  <si>
    <t>Explosives Estimate</t>
  </si>
  <si>
    <t xml:space="preserve">ALL INCLUSIVE BID :  </t>
  </si>
  <si>
    <t>TAXES:</t>
  </si>
  <si>
    <t>PAPER</t>
  </si>
  <si>
    <t>PLASTIC</t>
  </si>
  <si>
    <t>PENTOLITE</t>
  </si>
  <si>
    <t>FLAT RATE FOR</t>
  </si>
  <si>
    <t>All but Ft Nelson</t>
  </si>
  <si>
    <t>Load/ Unload</t>
  </si>
  <si>
    <t>COMPLIANCE CHARGE:</t>
  </si>
  <si>
    <t>WESTLOCK</t>
  </si>
  <si>
    <t>Cost/Km</t>
  </si>
  <si>
    <t>FORT NELSON :</t>
  </si>
  <si>
    <t>(YES,NO)</t>
  </si>
  <si>
    <t>BRITISH COLUMBIA:</t>
  </si>
  <si>
    <t>GRANDE PRAIRIE</t>
  </si>
  <si>
    <t>TYPE:</t>
  </si>
  <si>
    <t>(PAPER, PLASTIC,PENTOLITE)</t>
  </si>
  <si>
    <t>SASKATCHEWAN:</t>
  </si>
  <si>
    <t>FT NELSON</t>
  </si>
  <si>
    <t>REQUIRED</t>
  </si>
  <si>
    <t>TRANSPORTATION</t>
  </si>
  <si>
    <t>TABLE FOR CHARGE SIZE</t>
  </si>
  <si>
    <t>TABLE-CAP LENGTH</t>
  </si>
  <si>
    <t>TRANSPORTATION BID BY COMPANY:</t>
  </si>
  <si>
    <t>CHARGE SIZE</t>
  </si>
  <si>
    <t>2KG STICKS</t>
  </si>
  <si>
    <t>1 KG STICKS</t>
  </si>
  <si>
    <t>HOLE DEPTH</t>
  </si>
  <si>
    <t>CAP LENGTH</t>
  </si>
  <si>
    <t>PRICE</t>
  </si>
  <si>
    <t>TRANSPORTATION ORIGIN</t>
  </si>
  <si>
    <t>CALGARY, ESTAVAN,</t>
  </si>
  <si>
    <t>SRUCE GROVE,</t>
  </si>
  <si>
    <t>choose</t>
  </si>
  <si>
    <t>DETONATORS</t>
  </si>
  <si>
    <t>G.P.</t>
  </si>
  <si>
    <t>1 of these</t>
  </si>
  <si>
    <t>3 choices</t>
  </si>
  <si>
    <t>PRIMA CORD</t>
  </si>
  <si>
    <t>mtrs/hole</t>
  </si>
  <si>
    <t>Kms of Line</t>
  </si>
  <si>
    <t>TRUCKING (KM'S) ONE WAY=&gt;</t>
  </si>
  <si>
    <t># OF ROLLS</t>
  </si>
  <si>
    <t>Flat Rate:</t>
  </si>
  <si>
    <t>HOLEPLUGS</t>
  </si>
  <si>
    <t>Hours:</t>
  </si>
  <si>
    <t>AUGER</t>
  </si>
  <si>
    <t>Total Kms:</t>
  </si>
  <si>
    <t>POINTS</t>
  </si>
  <si>
    <t>Handling:</t>
  </si>
  <si>
    <t>SUB-TOTAL:</t>
  </si>
  <si>
    <t xml:space="preserve">SUB-TOTAL:  </t>
  </si>
  <si>
    <t>SUB-TOTAL (INCLUDING CARTAGE):</t>
  </si>
  <si>
    <t>FEDERAL COMPLIANCE CHARGE:</t>
  </si>
  <si>
    <t>Total Shotpoints</t>
  </si>
  <si>
    <t>PROVINCIAL SALES TAX:</t>
  </si>
  <si>
    <t>Total Holes</t>
  </si>
  <si>
    <t>TOTAL:</t>
  </si>
  <si>
    <t>COST/HOLE</t>
  </si>
  <si>
    <t>% DESTROYED  POWDER:</t>
  </si>
  <si>
    <t xml:space="preserve">TOTAL ALL INCLUSIVE:    </t>
  </si>
  <si>
    <t xml:space="preserve">Sub-Total: </t>
  </si>
  <si>
    <t>SEISMIC  ACQUISITION   COST   ESTIMATE (3D)</t>
  </si>
  <si>
    <t>Oak Island</t>
  </si>
  <si>
    <t>NS</t>
  </si>
  <si>
    <t>Source. Kms:</t>
  </si>
  <si>
    <t>km</t>
  </si>
  <si>
    <t xml:space="preserve">Patch </t>
  </si>
  <si>
    <t>Type:</t>
  </si>
  <si>
    <t>3D</t>
  </si>
  <si>
    <t>Source Int:</t>
  </si>
  <si>
    <t>m</t>
  </si>
  <si>
    <t>Charge Size</t>
  </si>
  <si>
    <t xml:space="preserve">Sq.Kms </t>
  </si>
  <si>
    <t>Rec int:</t>
  </si>
  <si>
    <t>Hole Depth</t>
  </si>
  <si>
    <t>Source:</t>
  </si>
  <si>
    <t>Blasting Caps</t>
  </si>
  <si>
    <t>No. of receivers</t>
  </si>
  <si>
    <t>Extra sp.'s</t>
  </si>
  <si>
    <t>Geo:</t>
  </si>
  <si>
    <t>Rec kms</t>
  </si>
  <si>
    <t>Total s.p.'s</t>
  </si>
  <si>
    <t>Date:</t>
  </si>
  <si>
    <t>%Age Buggy. Drill</t>
  </si>
  <si>
    <t>%</t>
  </si>
  <si>
    <t>Total Feet:</t>
  </si>
  <si>
    <t>Project #</t>
  </si>
  <si>
    <t>%Age Enviro Drill</t>
  </si>
  <si>
    <t>New Cut</t>
  </si>
  <si>
    <t>%Age Auger Drill</t>
  </si>
  <si>
    <t>Existing</t>
  </si>
  <si>
    <t>PERMIT/SCOUT</t>
  </si>
  <si>
    <t>Scouting</t>
  </si>
  <si>
    <t>DAYS @</t>
  </si>
  <si>
    <t>/</t>
  </si>
  <si>
    <t>DAY</t>
  </si>
  <si>
    <t>Helicopter</t>
  </si>
  <si>
    <t>HRS @</t>
  </si>
  <si>
    <t>HR</t>
  </si>
  <si>
    <t>Permit/Release</t>
  </si>
  <si>
    <t>Source/Rec. Line</t>
  </si>
  <si>
    <t>KMS @</t>
  </si>
  <si>
    <t>KM</t>
  </si>
  <si>
    <t>Water Well tests</t>
  </si>
  <si>
    <t>Wells</t>
  </si>
  <si>
    <t>Well</t>
  </si>
  <si>
    <t>Damage,access ect.</t>
  </si>
  <si>
    <t>TOTAL/KM</t>
  </si>
  <si>
    <t>DOZING AND CLEAN-UP</t>
  </si>
  <si>
    <t>Snow Plowing</t>
  </si>
  <si>
    <t>KMS/HRS @</t>
  </si>
  <si>
    <t>KM/HR</t>
  </si>
  <si>
    <t>Mob/Demob crew</t>
  </si>
  <si>
    <t>Mob/Demob Cat time</t>
  </si>
  <si>
    <t>Camp trucking</t>
  </si>
  <si>
    <t>HRS</t>
  </si>
  <si>
    <t>Camp/Hotshot</t>
  </si>
  <si>
    <t>MAN DAYS @</t>
  </si>
  <si>
    <t>medic</t>
  </si>
  <si>
    <t>HRS/DAYS @</t>
  </si>
  <si>
    <t>HR/DAY</t>
  </si>
  <si>
    <t>N C Mulcher source if required</t>
  </si>
  <si>
    <t>New Cut/Cats</t>
  </si>
  <si>
    <t>Cat Chasers</t>
  </si>
  <si>
    <t>Salvage</t>
  </si>
  <si>
    <t>CLEAN-UP/hand cutters</t>
  </si>
  <si>
    <t>Days @</t>
  </si>
  <si>
    <t xml:space="preserve">Trucks&amp;Quads if required </t>
  </si>
  <si>
    <t>Advance</t>
  </si>
  <si>
    <t>DAYS/HRS @</t>
  </si>
  <si>
    <t>DAY/HR</t>
  </si>
  <si>
    <t>Crew</t>
  </si>
  <si>
    <t>Chain &amp; Survey</t>
  </si>
  <si>
    <t>Camp/Hot-Shot</t>
  </si>
  <si>
    <t>MAN/DAYS</t>
  </si>
  <si>
    <t>MAN/DAY</t>
  </si>
  <si>
    <t>Weather</t>
  </si>
  <si>
    <t>POINTS @</t>
  </si>
  <si>
    <t>POINT</t>
  </si>
  <si>
    <t>Processor</t>
  </si>
  <si>
    <t>DAYS@</t>
  </si>
  <si>
    <t>Ambulance</t>
  </si>
  <si>
    <t>Drilling and Loading</t>
  </si>
  <si>
    <t>HOLES @</t>
  </si>
  <si>
    <t>MTRS/HR</t>
  </si>
  <si>
    <t>Drills-HAND AUGER</t>
  </si>
  <si>
    <t>MTRS/HRS @</t>
  </si>
  <si>
    <t>Drills-WHEEL</t>
  </si>
  <si>
    <t>Downhole Supplies</t>
  </si>
  <si>
    <t>HOLE</t>
  </si>
  <si>
    <t>Mag Rental</t>
  </si>
  <si>
    <t>Flat Fee</t>
  </si>
  <si>
    <t>Medics</t>
  </si>
  <si>
    <t xml:space="preserve">RECORDING </t>
  </si>
  <si>
    <t>Acquisition</t>
  </si>
  <si>
    <t>REC'S@</t>
  </si>
  <si>
    <t>DAYS/HRS</t>
  </si>
  <si>
    <t>Subsistance</t>
  </si>
  <si>
    <t>Man days @</t>
  </si>
  <si>
    <t>Day</t>
  </si>
  <si>
    <t>EWG</t>
  </si>
  <si>
    <t>Truck Tow Cat</t>
  </si>
  <si>
    <t xml:space="preserve">Boat &amp; Air Gun Rentals </t>
  </si>
  <si>
    <t>Camp</t>
  </si>
  <si>
    <t>MAN/DAYS @</t>
  </si>
  <si>
    <t>Camp/Trucking</t>
  </si>
  <si>
    <t>Helicopter if required by client</t>
  </si>
  <si>
    <t>ASSESSMENTS</t>
  </si>
  <si>
    <t>Road Use</t>
  </si>
  <si>
    <t>Stumpage-New</t>
  </si>
  <si>
    <t>HA @</t>
  </si>
  <si>
    <t>HA</t>
  </si>
  <si>
    <t>Stumpage-Existing</t>
  </si>
  <si>
    <t>FMA-New Cut (ANC)</t>
  </si>
  <si>
    <t>HA/KMS @</t>
  </si>
  <si>
    <t>HA/KM</t>
  </si>
  <si>
    <t>FMA-Existing</t>
  </si>
  <si>
    <t>MISCELLANEOUS</t>
  </si>
  <si>
    <t>Flowing Holes</t>
  </si>
  <si>
    <t>Safety Audits</t>
  </si>
  <si>
    <t>Environmental Monitor</t>
  </si>
  <si>
    <t>Program @</t>
  </si>
  <si>
    <t>Pipeline Locating</t>
  </si>
  <si>
    <t>Gov.Map and application</t>
  </si>
  <si>
    <t>Program@</t>
  </si>
  <si>
    <t>Program</t>
  </si>
  <si>
    <t>Enviro/Wild life Study</t>
  </si>
  <si>
    <t>program @</t>
  </si>
  <si>
    <t>WELL</t>
  </si>
  <si>
    <t xml:space="preserve"> @</t>
  </si>
  <si>
    <t>Trapper Comp.</t>
  </si>
  <si>
    <t>Program Design</t>
  </si>
  <si>
    <t>Interpretation</t>
  </si>
  <si>
    <t>Receivers</t>
  </si>
  <si>
    <t>Recording Data Processing</t>
  </si>
  <si>
    <t>Shots @</t>
  </si>
  <si>
    <t>Shot</t>
  </si>
  <si>
    <t>SUPERVISION</t>
  </si>
  <si>
    <t xml:space="preserve">Project Management </t>
  </si>
  <si>
    <t>Contract Rep (Field)</t>
  </si>
  <si>
    <t>Management</t>
  </si>
  <si>
    <t xml:space="preserve">GR. TOTAL </t>
  </si>
  <si>
    <t>PER SQ. KM.</t>
  </si>
  <si>
    <t>(km)</t>
  </si>
  <si>
    <t>(m)</t>
  </si>
  <si>
    <t>Receiver Type:</t>
  </si>
  <si>
    <t>Receiver Interval:</t>
  </si>
  <si>
    <t>No. of Receiver Lines:</t>
  </si>
  <si>
    <t>(kg)</t>
  </si>
  <si>
    <t>Kgs per Hole ("0" if Vib Job)=&gt;:</t>
  </si>
  <si>
    <t>Total Amount of Pad Time Required: (Pad Time per VP x Total VPs in Program)</t>
  </si>
  <si>
    <t>Field Days to Shoot - DAYSHIFT</t>
  </si>
  <si>
    <t>Field Days to Shoot - NIGHTSHIFT</t>
  </si>
  <si>
    <t>COST/DAY</t>
  </si>
  <si>
    <t>No. of  Source Lines:</t>
  </si>
  <si>
    <t>Channels Rquired (4 lines roll)</t>
  </si>
  <si>
    <t>Patch Size:</t>
  </si>
  <si>
    <t>Lines</t>
  </si>
  <si>
    <t>Stations</t>
  </si>
  <si>
    <t>Total Source points:</t>
  </si>
  <si>
    <t>Swamp V12 Combo</t>
  </si>
  <si>
    <t>WEATHER</t>
  </si>
  <si>
    <t>Linear Km's:</t>
  </si>
  <si>
    <t>Square Km's:</t>
  </si>
  <si>
    <t>WEATHER RATE:</t>
  </si>
  <si>
    <t>hrs</t>
  </si>
  <si>
    <t>Recording Equipmment</t>
  </si>
  <si>
    <t>Geophones (6per)</t>
  </si>
  <si>
    <t>Geophones (3per)</t>
  </si>
  <si>
    <t>Geophones (ONE)</t>
  </si>
  <si>
    <t>Geophones (3C Nail)</t>
  </si>
  <si>
    <t>GEOSPACE GSX1</t>
  </si>
  <si>
    <t>GEOSPACE GSX3</t>
  </si>
  <si>
    <t>Electronic Cap</t>
  </si>
  <si>
    <t>GEOSPACE BATT</t>
  </si>
  <si>
    <t>GMT</t>
  </si>
  <si>
    <t>QTY</t>
  </si>
  <si>
    <t>RECORDING PARAMETERS</t>
  </si>
  <si>
    <t>Wheeled Equipmment</t>
  </si>
  <si>
    <t>Mechanic Truck</t>
  </si>
  <si>
    <t>Equipment Expenses</t>
  </si>
  <si>
    <t>Personal Trucks</t>
  </si>
  <si>
    <t>Rental Recording</t>
  </si>
  <si>
    <t>Tapes and \Supplies</t>
  </si>
  <si>
    <t>Repiars and Maintenance</t>
  </si>
  <si>
    <t>Fuel - Vibes</t>
  </si>
  <si>
    <t>Vibe Trucking</t>
  </si>
  <si>
    <t>COST/RX</t>
  </si>
  <si>
    <t>COST/SX</t>
  </si>
  <si>
    <t>COST/KM</t>
  </si>
  <si>
    <t>WEATHER/HR</t>
  </si>
  <si>
    <t>STAT/HR</t>
  </si>
  <si>
    <t>Shoot All Live:</t>
  </si>
  <si>
    <t>No. of Vibes:</t>
  </si>
  <si>
    <t>Record Length:</t>
  </si>
  <si>
    <t>Move-up Between VPs:</t>
  </si>
  <si>
    <t>Vibe Type:</t>
  </si>
  <si>
    <t>Sample Rate:</t>
  </si>
  <si>
    <t>Preamp Gain:</t>
  </si>
  <si>
    <t>Script Time:</t>
  </si>
  <si>
    <t>Cycle Time:</t>
  </si>
  <si>
    <t>Administrator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</si>
</sst>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8">
    <numFmt numFmtId="44" formatCode="_-&quot;$&quot;* #,##0.00_-;\-&quot;$&quot;* #,##0.00_-;_-&quot;$&quot;* &quot;-&quot;??_-;_-@_-"/>
    <numFmt numFmtId="43" formatCode="_-* #,##0.00_-;\-* #,##0.00_-;_-* &quot;-&quot;??_-;_-@_-"/>
    <numFmt numFmtId="164" formatCode="0.000"/>
    <numFmt numFmtId="165" formatCode="0.0"/>
    <numFmt numFmtId="166" formatCode="#\ ?/?\ \K\G"/>
    <numFmt numFmtId="167" formatCode="0.0%"/>
    <numFmt numFmtId="168" formatCode="&quot;$&quot;\ #,##0.00;\-&quot;$&quot;#,##0.00"/>
    <numFmt numFmtId="169" formatCode="\(\ \ \ 0\ \ \ \x"/>
    <numFmt numFmtId="170" formatCode="0\ \ \ \)\ \ \ \ \ \+"/>
    <numFmt numFmtId="171" formatCode="&quot;$&quot;#,##0.00"/>
    <numFmt numFmtId="172" formatCode="&quot;$&quot;#,##0.0000"/>
    <numFmt numFmtId="173" formatCode="#\ &quot;M&quot;"/>
    <numFmt numFmtId="174" formatCode="&quot;=&quot;\ #"/>
    <numFmt numFmtId="175" formatCode="0.0\ &quot;Days&quot;"/>
    <numFmt numFmtId="176" formatCode="0.00\ &quot;Hr/Km&quot;"/>
    <numFmt numFmtId="177" formatCode="&quot;$&quot;#,##0.000000"/>
    <numFmt numFmtId="178" formatCode="&quot;/ &quot;0\ &quot;crews =&quot;"/>
    <numFmt numFmtId="179" formatCode="0.00\ &quot;Sets/Hr&quot;"/>
    <numFmt numFmtId="180" formatCode="0.000\ &quot;Kms/Day Average&quot;"/>
    <numFmt numFmtId="181" formatCode="0&quot; Men&quot;"/>
    <numFmt numFmtId="182" formatCode="0.0\ &quot;Hrs&quot;"/>
    <numFmt numFmtId="183" formatCode="0\ &quot;(Seconds)&quot;"/>
    <numFmt numFmtId="184" formatCode="0\ &quot;(Total VPs)&quot;"/>
    <numFmt numFmtId="185" formatCode="[$-409]mmmm\ d\,\ yyyy;@"/>
    <numFmt numFmtId="186" formatCode="&quot;$&quot;0.00\ &quot;pt&quot;"/>
    <numFmt numFmtId="187" formatCode="mmmm\ dd\,\ yyyy"/>
    <numFmt numFmtId="188" formatCode="0\ &quot;Days&quot;"/>
    <numFmt numFmtId="189" formatCode="&quot;SU - &quot;0"/>
    <numFmt numFmtId="190" formatCode="&quot;$&quot;#,##0.000"/>
    <numFmt numFmtId="191" formatCode="0.00\ &quot;Kms&quot;"/>
    <numFmt numFmtId="192" formatCode="##\ &quot;Pads&quot;"/>
    <numFmt numFmtId="193" formatCode="0.00\ &quot;Ha&quot;"/>
    <numFmt numFmtId="194" formatCode="#.0&quot;m wide&quot;"/>
    <numFmt numFmtId="195" formatCode="0&quot; men/crew&quot;"/>
    <numFmt numFmtId="196" formatCode="0\ &quot;Drills&quot;"/>
    <numFmt numFmtId="197" formatCode="0\ &quot;Wtr Trk&quot;"/>
    <numFmt numFmtId="198" formatCode="0\ &quot;holes&quot;"/>
    <numFmt numFmtId="199" formatCode="0\ &quot;Mtrs/Day&quot;"/>
    <numFmt numFmtId="200" formatCode="0.0\ &quot;Bag/Hole&quot;"/>
    <numFmt numFmtId="201" formatCode="0.0\ &quot;Bags&quot;"/>
    <numFmt numFmtId="202" formatCode="0.0\ &quot;Kms&quot;"/>
    <numFmt numFmtId="203" formatCode="#\ ??/??\ \K\G"/>
    <numFmt numFmtId="204" formatCode="#\ &quot;Meter&quot;"/>
    <numFmt numFmtId="205" formatCode="##\ &quot;Gr.&quot;"/>
    <numFmt numFmtId="206" formatCode="0.00_)"/>
    <numFmt numFmtId="207" formatCode="#,##0.00_ ;\-#,##0.00\ "/>
    <numFmt numFmtId="208" formatCode="0_)"/>
    <numFmt numFmtId="209" formatCode="yyyy/mm/dd;@"/>
  </numFmts>
  <fonts count="56">
    <font>
      <sz val="8"/>
      <name val="Arial"/>
    </font>
    <font>
      <sz val="11"/>
      <color theme="1"/>
      <name val="Calibri"/>
      <family val="2"/>
      <scheme val="minor"/>
    </font>
    <font>
      <sz val="8"/>
      <name val="Arial"/>
      <family val="2"/>
    </font>
    <font>
      <sz val="14"/>
      <name val="Arial"/>
      <family val="2"/>
    </font>
    <font>
      <sz val="10"/>
      <name val="Arial"/>
      <family val="2"/>
    </font>
    <font>
      <b/>
      <sz val="12"/>
      <name val="Arial"/>
      <family val="2"/>
    </font>
    <font>
      <sz val="12"/>
      <name val="Arial"/>
      <family val="2"/>
    </font>
    <font>
      <b/>
      <sz val="10"/>
      <name val="Arial"/>
      <family val="2"/>
    </font>
    <font>
      <sz val="7"/>
      <name val="Arial"/>
      <family val="2"/>
    </font>
    <font>
      <sz val="6"/>
      <name val="Arial"/>
      <family val="2"/>
    </font>
    <font>
      <sz val="10"/>
      <color indexed="8"/>
      <name val="Arial"/>
      <family val="2"/>
    </font>
    <font>
      <b/>
      <sz val="10"/>
      <color indexed="8"/>
      <name val="Arial"/>
      <family val="2"/>
    </font>
    <font>
      <sz val="8"/>
      <color indexed="8"/>
      <name val="Arial"/>
      <family val="2"/>
    </font>
    <font>
      <sz val="9"/>
      <name val="Arial"/>
      <family val="2"/>
    </font>
    <font>
      <b/>
      <u/>
      <sz val="9"/>
      <name val="Arial"/>
      <family val="2"/>
    </font>
    <font>
      <b/>
      <sz val="8"/>
      <color indexed="8"/>
      <name val="Arial"/>
      <family val="2"/>
    </font>
    <font>
      <sz val="7.5"/>
      <name val="Arial"/>
      <family val="2"/>
    </font>
    <font>
      <b/>
      <sz val="8"/>
      <name val="Arial"/>
      <family val="2"/>
    </font>
    <font>
      <b/>
      <sz val="11"/>
      <color indexed="8"/>
      <name val="Arial"/>
      <family val="2"/>
    </font>
    <font>
      <b/>
      <i/>
      <sz val="14"/>
      <name val="Arial"/>
      <family val="2"/>
    </font>
    <font>
      <b/>
      <sz val="9"/>
      <name val="Arial"/>
      <family val="2"/>
    </font>
    <font>
      <b/>
      <sz val="9"/>
      <color indexed="8"/>
      <name val="Arial"/>
      <family val="2"/>
    </font>
    <font>
      <sz val="9"/>
      <color indexed="8"/>
      <name val="Arial"/>
      <family val="2"/>
    </font>
    <font>
      <b/>
      <u/>
      <sz val="6"/>
      <name val="Arial"/>
      <family val="2"/>
    </font>
    <font>
      <b/>
      <sz val="11"/>
      <name val="Arial"/>
      <family val="2"/>
    </font>
    <font>
      <sz val="8"/>
      <color indexed="81"/>
      <name val="Tahoma"/>
      <family val="2"/>
    </font>
    <font>
      <b/>
      <sz val="8"/>
      <color indexed="12"/>
      <name val="Tahoma"/>
      <family val="2"/>
    </font>
    <font>
      <b/>
      <sz val="14"/>
      <name val="Arial"/>
      <family val="2"/>
    </font>
    <font>
      <b/>
      <sz val="9"/>
      <color indexed="12"/>
      <name val="Arial"/>
      <family val="2"/>
    </font>
    <font>
      <b/>
      <sz val="9"/>
      <color indexed="10"/>
      <name val="Arial"/>
      <family val="2"/>
    </font>
    <font>
      <sz val="9"/>
      <color indexed="10"/>
      <name val="Arial"/>
      <family val="2"/>
    </font>
    <font>
      <b/>
      <sz val="9"/>
      <color indexed="56"/>
      <name val="Arial"/>
      <family val="2"/>
    </font>
    <font>
      <b/>
      <sz val="8"/>
      <color indexed="81"/>
      <name val="Tahoma"/>
      <family val="2"/>
    </font>
    <font>
      <b/>
      <sz val="8"/>
      <color indexed="12"/>
      <name val="Arial"/>
      <family val="2"/>
    </font>
    <font>
      <b/>
      <sz val="9"/>
      <color indexed="12"/>
      <name val="Tahoma"/>
      <family val="2"/>
    </font>
    <font>
      <b/>
      <u/>
      <sz val="8"/>
      <color indexed="81"/>
      <name val="Tahoma"/>
      <family val="2"/>
    </font>
    <font>
      <b/>
      <sz val="8"/>
      <color indexed="10"/>
      <name val="Tahoma"/>
      <family val="2"/>
    </font>
    <font>
      <b/>
      <i/>
      <sz val="9"/>
      <name val="Arial"/>
      <family val="2"/>
    </font>
    <font>
      <b/>
      <i/>
      <sz val="10"/>
      <name val="Arial"/>
      <family val="2"/>
    </font>
    <font>
      <b/>
      <sz val="12"/>
      <color indexed="8"/>
      <name val="Arial"/>
      <family val="2"/>
    </font>
    <font>
      <b/>
      <u/>
      <sz val="14"/>
      <name val="Arial"/>
      <family val="2"/>
    </font>
    <font>
      <sz val="8"/>
      <color indexed="13"/>
      <name val="Arial"/>
      <family val="2"/>
    </font>
    <font>
      <sz val="7"/>
      <color indexed="13"/>
      <name val="Arial"/>
      <family val="2"/>
    </font>
    <font>
      <sz val="8"/>
      <color indexed="34"/>
      <name val="Arial"/>
      <family val="2"/>
    </font>
    <font>
      <b/>
      <sz val="7"/>
      <name val="Arial"/>
      <family val="2"/>
    </font>
    <font>
      <sz val="12"/>
      <name val="Arial MT"/>
    </font>
    <font>
      <sz val="10"/>
      <name val="Calibri"/>
      <family val="2"/>
      <scheme val="minor"/>
    </font>
    <font>
      <sz val="10"/>
      <color indexed="8"/>
      <name val="Calibri"/>
      <family val="2"/>
      <scheme val="minor"/>
    </font>
    <font>
      <i/>
      <sz val="10"/>
      <name val="Calibri"/>
      <family val="2"/>
      <scheme val="minor"/>
    </font>
    <font>
      <sz val="10"/>
      <color indexed="12"/>
      <name val="Calibri"/>
      <family val="2"/>
      <scheme val="minor"/>
    </font>
    <font>
      <sz val="10"/>
      <color indexed="10"/>
      <name val="Calibri"/>
      <family val="2"/>
      <scheme val="minor"/>
    </font>
    <font>
      <u/>
      <sz val="10"/>
      <name val="Calibri"/>
      <family val="2"/>
      <scheme val="minor"/>
    </font>
    <font>
      <sz val="10"/>
      <color indexed="56"/>
      <name val="Calibri"/>
      <family val="2"/>
      <scheme val="minor"/>
    </font>
    <font>
      <i/>
      <sz val="10"/>
      <color indexed="8"/>
      <name val="Calibri"/>
      <family val="2"/>
      <scheme val="minor"/>
    </font>
    <font>
      <sz val="10"/>
      <color theme="1"/>
      <name val="Calibri"/>
      <family val="2"/>
      <scheme val="minor"/>
    </font>
    <font>
      <b/>
      <sz val="10"/>
      <name val="Calibri"/>
      <family val="2"/>
      <scheme val="minor"/>
    </font>
  </fonts>
  <fills count="21">
    <fill>
      <patternFill patternType="none"/>
    </fill>
    <fill>
      <patternFill patternType="gray125"/>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15"/>
        <bgColor indexed="64"/>
      </patternFill>
    </fill>
    <fill>
      <patternFill patternType="solid">
        <fgColor indexed="45"/>
        <bgColor indexed="64"/>
      </patternFill>
    </fill>
    <fill>
      <patternFill patternType="solid">
        <fgColor indexed="41"/>
        <bgColor indexed="64"/>
      </patternFill>
    </fill>
    <fill>
      <patternFill patternType="solid">
        <fgColor indexed="13"/>
        <bgColor indexed="64"/>
      </patternFill>
    </fill>
    <fill>
      <patternFill patternType="solid">
        <fgColor indexed="22"/>
        <bgColor indexed="64"/>
      </patternFill>
    </fill>
    <fill>
      <patternFill patternType="solid">
        <fgColor indexed="31"/>
        <bgColor indexed="64"/>
      </patternFill>
    </fill>
    <fill>
      <patternFill patternType="solid">
        <fgColor indexed="26"/>
        <bgColor indexed="64"/>
      </patternFill>
    </fill>
    <fill>
      <patternFill patternType="solid">
        <fgColor indexed="10"/>
        <bgColor indexed="64"/>
      </patternFill>
    </fill>
    <fill>
      <patternFill patternType="solid">
        <fgColor theme="3" tint="0.39997558519241921"/>
        <bgColor indexed="64"/>
      </patternFill>
    </fill>
    <fill>
      <patternFill patternType="solid">
        <fgColor rgb="FFFFFF00"/>
        <bgColor indexed="64"/>
      </patternFill>
    </fill>
    <fill>
      <patternFill patternType="solid">
        <fgColor indexed="9"/>
        <bgColor indexed="64"/>
      </patternFill>
    </fill>
    <fill>
      <patternFill patternType="solid">
        <fgColor indexed="34"/>
        <bgColor indexed="64"/>
      </patternFill>
    </fill>
    <fill>
      <patternFill patternType="solid">
        <fgColor indexed="14"/>
        <bgColor indexed="64"/>
      </patternFill>
    </fill>
    <fill>
      <patternFill patternType="solid">
        <fgColor indexed="39"/>
        <bgColor indexed="64"/>
      </patternFill>
    </fill>
    <fill>
      <patternFill patternType="solid">
        <fgColor rgb="FFFF7C80"/>
        <bgColor indexed="64"/>
      </patternFill>
    </fill>
    <fill>
      <patternFill patternType="solid">
        <fgColor theme="0" tint="-0.14999847407452621"/>
        <bgColor indexed="64"/>
      </patternFill>
    </fill>
  </fills>
  <borders count="121">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right/>
      <top style="thin">
        <color indexed="64"/>
      </top>
      <bottom/>
      <diagonal/>
    </border>
    <border>
      <left style="thin">
        <color indexed="64"/>
      </left>
      <right/>
      <top/>
      <bottom/>
      <diagonal/>
    </border>
    <border>
      <left/>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style="double">
        <color indexed="64"/>
      </left>
      <right style="double">
        <color indexed="64"/>
      </right>
      <top/>
      <bottom style="double">
        <color indexed="64"/>
      </bottom>
      <diagonal/>
    </border>
    <border>
      <left style="double">
        <color indexed="64"/>
      </left>
      <right style="double">
        <color indexed="64"/>
      </right>
      <top style="thin">
        <color indexed="64"/>
      </top>
      <bottom/>
      <diagonal/>
    </border>
    <border>
      <left style="double">
        <color indexed="64"/>
      </left>
      <right/>
      <top style="thin">
        <color indexed="64"/>
      </top>
      <bottom style="double">
        <color indexed="64"/>
      </bottom>
      <diagonal/>
    </border>
    <border>
      <left style="double">
        <color indexed="64"/>
      </left>
      <right/>
      <top style="thin">
        <color indexed="64"/>
      </top>
      <bottom/>
      <diagonal/>
    </border>
    <border>
      <left style="double">
        <color indexed="64"/>
      </left>
      <right style="double">
        <color indexed="64"/>
      </right>
      <top/>
      <bottom style="thin">
        <color indexed="64"/>
      </bottom>
      <diagonal/>
    </border>
    <border>
      <left style="double">
        <color indexed="64"/>
      </left>
      <right style="double">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bottom style="thin">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double">
        <color indexed="64"/>
      </left>
      <right style="double">
        <color indexed="64"/>
      </right>
      <top style="double">
        <color indexed="64"/>
      </top>
      <bottom style="double">
        <color indexed="64"/>
      </bottom>
      <diagonal/>
    </border>
    <border>
      <left style="double">
        <color indexed="64"/>
      </left>
      <right style="double">
        <color indexed="64"/>
      </right>
      <top/>
      <bottom/>
      <diagonal/>
    </border>
    <border>
      <left style="medium">
        <color indexed="64"/>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double">
        <color indexed="64"/>
      </left>
      <right/>
      <top/>
      <bottom style="double">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medium">
        <color indexed="64"/>
      </right>
      <top/>
      <bottom/>
      <diagonal/>
    </border>
    <border>
      <left style="thin">
        <color indexed="64"/>
      </left>
      <right style="medium">
        <color indexed="64"/>
      </right>
      <top/>
      <bottom/>
      <diagonal/>
    </border>
    <border>
      <left/>
      <right style="thin">
        <color indexed="64"/>
      </right>
      <top style="thin">
        <color indexed="64"/>
      </top>
      <bottom style="medium">
        <color indexed="64"/>
      </bottom>
      <diagonal/>
    </border>
    <border>
      <left/>
      <right/>
      <top/>
      <bottom style="medium">
        <color indexed="64"/>
      </bottom>
      <diagonal/>
    </border>
    <border>
      <left/>
      <right/>
      <top style="thin">
        <color indexed="64"/>
      </top>
      <bottom style="medium">
        <color indexed="64"/>
      </bottom>
      <diagonal/>
    </border>
    <border>
      <left/>
      <right style="medium">
        <color indexed="64"/>
      </right>
      <top/>
      <bottom style="medium">
        <color indexed="64"/>
      </bottom>
      <diagonal/>
    </border>
    <border>
      <left style="medium">
        <color indexed="64"/>
      </left>
      <right/>
      <top/>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double">
        <color indexed="64"/>
      </bottom>
      <diagonal/>
    </border>
    <border>
      <left style="double">
        <color indexed="64"/>
      </left>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medium">
        <color indexed="64"/>
      </left>
      <right/>
      <top style="thin">
        <color indexed="64"/>
      </top>
      <bottom style="medium">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top style="thin">
        <color indexed="64"/>
      </top>
      <bottom style="thin">
        <color indexed="64"/>
      </bottom>
      <diagonal/>
    </border>
    <border>
      <left/>
      <right style="thin">
        <color indexed="64"/>
      </right>
      <top style="double">
        <color indexed="64"/>
      </top>
      <bottom style="thin">
        <color indexed="64"/>
      </bottom>
      <diagonal/>
    </border>
    <border>
      <left style="thin">
        <color indexed="64"/>
      </left>
      <right/>
      <top style="thin">
        <color indexed="64"/>
      </top>
      <bottom style="double">
        <color indexed="64"/>
      </bottom>
      <diagonal/>
    </border>
    <border>
      <left/>
      <right style="double">
        <color indexed="64"/>
      </right>
      <top style="thin">
        <color indexed="64"/>
      </top>
      <bottom style="double">
        <color indexed="64"/>
      </bottom>
      <diagonal/>
    </border>
    <border>
      <left style="double">
        <color indexed="64"/>
      </left>
      <right/>
      <top style="double">
        <color indexed="64"/>
      </top>
      <bottom style="double">
        <color indexed="64"/>
      </bottom>
      <diagonal/>
    </border>
    <border>
      <left/>
      <right/>
      <top style="double">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style="double">
        <color indexed="64"/>
      </right>
      <top/>
      <bottom/>
      <diagonal/>
    </border>
    <border>
      <left style="medium">
        <color indexed="64"/>
      </left>
      <right/>
      <top/>
      <bottom style="medium">
        <color indexed="64"/>
      </bottom>
      <diagonal/>
    </border>
    <border>
      <left/>
      <right/>
      <top/>
      <bottom style="double">
        <color indexed="64"/>
      </bottom>
      <diagonal/>
    </border>
    <border>
      <left style="thin">
        <color indexed="64"/>
      </left>
      <right/>
      <top style="double">
        <color indexed="64"/>
      </top>
      <bottom style="double">
        <color indexed="64"/>
      </bottom>
      <diagonal/>
    </border>
    <border>
      <left/>
      <right style="thin">
        <color indexed="64"/>
      </right>
      <top style="double">
        <color indexed="64"/>
      </top>
      <bottom style="double">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diagonalUp="1" diagonalDown="1">
      <left style="medium">
        <color indexed="64"/>
      </left>
      <right style="medium">
        <color indexed="64"/>
      </right>
      <top/>
      <bottom style="thin">
        <color indexed="64"/>
      </bottom>
      <diagonal style="hair">
        <color indexed="64"/>
      </diagonal>
    </border>
    <border diagonalUp="1" diagonalDown="1">
      <left style="medium">
        <color indexed="64"/>
      </left>
      <right style="medium">
        <color indexed="64"/>
      </right>
      <top style="thin">
        <color indexed="64"/>
      </top>
      <bottom style="thin">
        <color indexed="64"/>
      </bottom>
      <diagonal style="hair">
        <color indexed="64"/>
      </diagonal>
    </border>
    <border diagonalUp="1" diagonalDown="1">
      <left style="medium">
        <color indexed="64"/>
      </left>
      <right style="thin">
        <color indexed="64"/>
      </right>
      <top style="thin">
        <color indexed="64"/>
      </top>
      <bottom style="thin">
        <color indexed="64"/>
      </bottom>
      <diagonal style="hair">
        <color indexed="64"/>
      </diagonal>
    </border>
    <border diagonalUp="1" diagonalDown="1">
      <left style="thin">
        <color indexed="64"/>
      </left>
      <right style="medium">
        <color indexed="64"/>
      </right>
      <top style="thin">
        <color indexed="64"/>
      </top>
      <bottom style="thin">
        <color indexed="64"/>
      </bottom>
      <diagonal style="hair">
        <color indexed="64"/>
      </diagonal>
    </border>
    <border>
      <left style="double">
        <color indexed="64"/>
      </left>
      <right style="thin">
        <color indexed="64"/>
      </right>
      <top style="double">
        <color indexed="64"/>
      </top>
      <bottom style="double">
        <color indexed="64"/>
      </bottom>
      <diagonal/>
    </border>
    <border>
      <left style="thin">
        <color indexed="64"/>
      </left>
      <right style="medium">
        <color indexed="64"/>
      </right>
      <top style="double">
        <color indexed="64"/>
      </top>
      <bottom style="double">
        <color indexed="64"/>
      </bottom>
      <diagonal/>
    </border>
    <border>
      <left style="double">
        <color indexed="64"/>
      </left>
      <right style="thin">
        <color indexed="64"/>
      </right>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style="thin">
        <color indexed="64"/>
      </left>
      <right style="thin">
        <color indexed="64"/>
      </right>
      <top/>
      <bottom style="double">
        <color indexed="64"/>
      </bottom>
      <diagonal/>
    </border>
    <border>
      <left style="double">
        <color indexed="64"/>
      </left>
      <right style="thin">
        <color indexed="64"/>
      </right>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top style="double">
        <color indexed="64"/>
      </top>
      <bottom style="thin">
        <color indexed="64"/>
      </bottom>
      <diagonal/>
    </border>
    <border>
      <left/>
      <right style="medium">
        <color indexed="64"/>
      </right>
      <top style="medium">
        <color indexed="64"/>
      </top>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style="thin">
        <color indexed="64"/>
      </bottom>
      <diagonal/>
    </border>
    <border>
      <left/>
      <right style="double">
        <color indexed="64"/>
      </right>
      <top/>
      <bottom style="thin">
        <color indexed="64"/>
      </bottom>
      <diagonal/>
    </border>
    <border>
      <left style="thin">
        <color indexed="64"/>
      </left>
      <right style="double">
        <color indexed="64"/>
      </right>
      <top/>
      <bottom/>
      <diagonal/>
    </border>
    <border>
      <left style="thin">
        <color indexed="64"/>
      </left>
      <right style="double">
        <color indexed="64"/>
      </right>
      <top/>
      <bottom style="thin">
        <color indexed="64"/>
      </bottom>
      <diagonal/>
    </border>
    <border>
      <left/>
      <right style="thin">
        <color indexed="64"/>
      </right>
      <top/>
      <bottom style="medium">
        <color indexed="64"/>
      </bottom>
      <diagonal/>
    </border>
  </borders>
  <cellStyleXfs count="8">
    <xf numFmtId="0" fontId="0"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9" fontId="2" fillId="0" borderId="0" applyFont="0" applyFill="0" applyBorder="0" applyAlignment="0" applyProtection="0"/>
    <xf numFmtId="0" fontId="1" fillId="0" borderId="0"/>
    <xf numFmtId="0" fontId="2" fillId="0" borderId="0"/>
    <xf numFmtId="0" fontId="45" fillId="0" borderId="0"/>
  </cellStyleXfs>
  <cellXfs count="1204">
    <xf numFmtId="0" fontId="0" fillId="0" borderId="0" xfId="0"/>
    <xf numFmtId="171" fontId="20" fillId="2" borderId="2" xfId="2" applyNumberFormat="1" applyFont="1" applyFill="1" applyBorder="1" applyAlignment="1" applyProtection="1">
      <alignment horizontal="center"/>
    </xf>
    <xf numFmtId="171" fontId="13" fillId="0" borderId="2" xfId="2" applyNumberFormat="1" applyFont="1" applyFill="1" applyBorder="1" applyAlignment="1" applyProtection="1"/>
    <xf numFmtId="1" fontId="20" fillId="2" borderId="2" xfId="2" applyNumberFormat="1" applyFont="1" applyFill="1" applyBorder="1" applyAlignment="1" applyProtection="1">
      <alignment horizontal="center"/>
    </xf>
    <xf numFmtId="171" fontId="20" fillId="0" borderId="0" xfId="2" applyNumberFormat="1" applyFont="1" applyFill="1" applyBorder="1" applyAlignment="1" applyProtection="1">
      <alignment horizontal="center"/>
    </xf>
    <xf numFmtId="171" fontId="13" fillId="0" borderId="2" xfId="2" applyNumberFormat="1" applyFont="1" applyBorder="1" applyAlignment="1" applyProtection="1"/>
    <xf numFmtId="171" fontId="22" fillId="0" borderId="2" xfId="2" applyNumberFormat="1" applyFont="1" applyFill="1" applyBorder="1" applyAlignment="1" applyProtection="1"/>
    <xf numFmtId="171" fontId="11" fillId="2" borderId="2" xfId="2" applyNumberFormat="1" applyFont="1" applyFill="1" applyBorder="1" applyAlignment="1" applyProtection="1"/>
    <xf numFmtId="44" fontId="13" fillId="0" borderId="2" xfId="2" applyFont="1" applyFill="1" applyBorder="1" applyAlignment="1" applyProtection="1"/>
    <xf numFmtId="44" fontId="4" fillId="0" borderId="9" xfId="2" applyFont="1" applyBorder="1" applyAlignment="1" applyProtection="1"/>
    <xf numFmtId="171" fontId="20" fillId="2" borderId="10" xfId="2" applyNumberFormat="1" applyFont="1" applyFill="1" applyBorder="1" applyAlignment="1" applyProtection="1">
      <alignment horizontal="center"/>
    </xf>
    <xf numFmtId="171" fontId="20" fillId="0" borderId="2" xfId="2" applyNumberFormat="1" applyFont="1" applyFill="1" applyBorder="1" applyAlignment="1" applyProtection="1">
      <alignment horizontal="center"/>
    </xf>
    <xf numFmtId="44" fontId="4" fillId="0" borderId="11" xfId="2" applyFont="1" applyBorder="1" applyAlignment="1" applyProtection="1"/>
    <xf numFmtId="44" fontId="13" fillId="0" borderId="0" xfId="2" applyFont="1" applyFill="1" applyBorder="1" applyAlignment="1" applyProtection="1"/>
    <xf numFmtId="44" fontId="13" fillId="0" borderId="0" xfId="2" applyFont="1" applyFill="1" applyAlignment="1" applyProtection="1"/>
    <xf numFmtId="165" fontId="20" fillId="2" borderId="2" xfId="2" applyNumberFormat="1" applyFont="1" applyFill="1" applyBorder="1" applyAlignment="1" applyProtection="1">
      <alignment horizontal="center"/>
    </xf>
    <xf numFmtId="165" fontId="20" fillId="0" borderId="2" xfId="2" applyNumberFormat="1" applyFont="1" applyFill="1" applyBorder="1" applyAlignment="1" applyProtection="1">
      <alignment horizontal="center"/>
    </xf>
    <xf numFmtId="176" fontId="20" fillId="2" borderId="2" xfId="2" applyNumberFormat="1" applyFont="1" applyFill="1" applyBorder="1" applyAlignment="1" applyProtection="1">
      <alignment horizontal="center"/>
    </xf>
    <xf numFmtId="171" fontId="13" fillId="0" borderId="28" xfId="2" applyNumberFormat="1" applyFont="1" applyBorder="1" applyAlignment="1">
      <alignment horizontal="right"/>
    </xf>
    <xf numFmtId="171" fontId="13" fillId="0" borderId="29" xfId="2" applyNumberFormat="1" applyFont="1" applyBorder="1" applyAlignment="1">
      <alignment horizontal="right"/>
    </xf>
    <xf numFmtId="171" fontId="20" fillId="3" borderId="25" xfId="2" applyNumberFormat="1" applyFont="1" applyFill="1" applyBorder="1" applyAlignment="1">
      <alignment horizontal="right" vertical="top"/>
    </xf>
    <xf numFmtId="171" fontId="20" fillId="3" borderId="34" xfId="2" applyNumberFormat="1" applyFont="1" applyFill="1" applyBorder="1" applyAlignment="1">
      <alignment horizontal="right" vertical="top"/>
    </xf>
    <xf numFmtId="171" fontId="20" fillId="6" borderId="24" xfId="2" applyNumberFormat="1" applyFont="1" applyFill="1" applyBorder="1" applyAlignment="1">
      <alignment horizontal="right" vertical="center"/>
    </xf>
    <xf numFmtId="171" fontId="29" fillId="0" borderId="35" xfId="2" applyNumberFormat="1" applyFont="1" applyFill="1" applyBorder="1" applyAlignment="1">
      <alignment horizontal="right"/>
    </xf>
    <xf numFmtId="171" fontId="29" fillId="0" borderId="36" xfId="2" applyNumberFormat="1" applyFont="1" applyFill="1" applyBorder="1" applyAlignment="1">
      <alignment horizontal="right"/>
    </xf>
    <xf numFmtId="171" fontId="21" fillId="6" borderId="24" xfId="2" applyNumberFormat="1" applyFont="1" applyFill="1" applyBorder="1" applyAlignment="1">
      <alignment horizontal="center" vertical="center"/>
    </xf>
    <xf numFmtId="1" fontId="20" fillId="0" borderId="7" xfId="1" applyNumberFormat="1" applyFont="1" applyBorder="1" applyAlignment="1" applyProtection="1">
      <alignment horizontal="center"/>
    </xf>
    <xf numFmtId="171" fontId="20" fillId="0" borderId="39" xfId="2" applyNumberFormat="1" applyFont="1" applyFill="1" applyBorder="1" applyAlignment="1" applyProtection="1">
      <alignment horizontal="center"/>
    </xf>
    <xf numFmtId="171" fontId="20" fillId="0" borderId="29" xfId="2" applyNumberFormat="1" applyFont="1" applyBorder="1" applyAlignment="1">
      <alignment horizontal="right"/>
    </xf>
    <xf numFmtId="171" fontId="21" fillId="5" borderId="24" xfId="2" applyNumberFormat="1" applyFont="1" applyFill="1" applyBorder="1" applyAlignment="1">
      <alignment horizontal="center" vertical="center"/>
    </xf>
    <xf numFmtId="171" fontId="20" fillId="0" borderId="41" xfId="2" applyNumberFormat="1" applyFont="1" applyBorder="1" applyAlignment="1">
      <alignment horizontal="right"/>
    </xf>
    <xf numFmtId="171" fontId="20" fillId="0" borderId="41" xfId="2" applyNumberFormat="1" applyFont="1" applyBorder="1" applyAlignment="1" applyProtection="1">
      <alignment horizontal="right"/>
    </xf>
    <xf numFmtId="171" fontId="13" fillId="0" borderId="41" xfId="2" applyNumberFormat="1" applyFont="1" applyBorder="1" applyAlignment="1">
      <alignment horizontal="right"/>
    </xf>
    <xf numFmtId="171" fontId="28" fillId="0" borderId="41" xfId="2" applyNumberFormat="1" applyFont="1" applyFill="1" applyBorder="1" applyAlignment="1">
      <alignment horizontal="right"/>
    </xf>
    <xf numFmtId="171" fontId="28" fillId="0" borderId="42" xfId="2" applyNumberFormat="1" applyFont="1" applyFill="1" applyBorder="1" applyAlignment="1">
      <alignment horizontal="right"/>
    </xf>
    <xf numFmtId="1" fontId="20" fillId="0" borderId="28" xfId="1" applyNumberFormat="1" applyFont="1" applyBorder="1" applyAlignment="1" applyProtection="1">
      <alignment horizontal="center"/>
    </xf>
    <xf numFmtId="171" fontId="28" fillId="0" borderId="29" xfId="2" applyNumberFormat="1" applyFont="1" applyFill="1" applyBorder="1" applyAlignment="1">
      <alignment horizontal="right"/>
    </xf>
    <xf numFmtId="44" fontId="4" fillId="0" borderId="1" xfId="2" applyFont="1" applyFill="1" applyBorder="1" applyAlignment="1" applyProtection="1"/>
    <xf numFmtId="44" fontId="7" fillId="0" borderId="1" xfId="2" applyFont="1" applyBorder="1" applyAlignment="1" applyProtection="1">
      <alignment horizontal="right"/>
    </xf>
    <xf numFmtId="44" fontId="11" fillId="0" borderId="1" xfId="2" applyFont="1" applyFill="1" applyBorder="1" applyAlignment="1" applyProtection="1"/>
    <xf numFmtId="171" fontId="29" fillId="0" borderId="44" xfId="2" applyNumberFormat="1" applyFont="1" applyBorder="1" applyAlignment="1">
      <alignment horizontal="right"/>
    </xf>
    <xf numFmtId="171" fontId="21" fillId="5" borderId="34" xfId="2" applyNumberFormat="1" applyFont="1" applyFill="1" applyBorder="1" applyAlignment="1">
      <alignment horizontal="right" vertical="center"/>
    </xf>
    <xf numFmtId="171" fontId="20" fillId="2" borderId="29" xfId="2" applyNumberFormat="1" applyFont="1" applyFill="1" applyBorder="1" applyAlignment="1" applyProtection="1">
      <alignment horizontal="center"/>
      <protection locked="0"/>
    </xf>
    <xf numFmtId="171" fontId="20" fillId="2" borderId="41" xfId="2" applyNumberFormat="1" applyFont="1" applyFill="1" applyBorder="1" applyAlignment="1" applyProtection="1">
      <alignment horizontal="center"/>
      <protection locked="0"/>
    </xf>
    <xf numFmtId="171" fontId="33" fillId="2" borderId="2" xfId="2" applyNumberFormat="1" applyFont="1" applyFill="1" applyBorder="1" applyAlignment="1" applyProtection="1">
      <alignment horizontal="left"/>
    </xf>
    <xf numFmtId="175" fontId="20" fillId="0" borderId="49" xfId="2" applyNumberFormat="1" applyFont="1" applyFill="1" applyBorder="1" applyAlignment="1" applyProtection="1">
      <alignment horizontal="center"/>
    </xf>
    <xf numFmtId="181" fontId="20" fillId="2" borderId="2" xfId="2" applyNumberFormat="1" applyFont="1" applyFill="1" applyBorder="1" applyAlignment="1" applyProtection="1">
      <alignment horizontal="center"/>
    </xf>
    <xf numFmtId="175" fontId="20" fillId="0" borderId="2" xfId="2" applyNumberFormat="1" applyFont="1" applyFill="1" applyBorder="1" applyAlignment="1" applyProtection="1">
      <alignment horizontal="center"/>
    </xf>
    <xf numFmtId="9" fontId="20" fillId="7" borderId="5" xfId="4" applyFont="1" applyFill="1" applyBorder="1" applyAlignment="1">
      <alignment horizontal="center" vertical="center"/>
    </xf>
    <xf numFmtId="171" fontId="13" fillId="0" borderId="7" xfId="2" applyNumberFormat="1" applyFont="1" applyFill="1" applyBorder="1" applyAlignment="1" applyProtection="1">
      <alignment horizontal="right"/>
    </xf>
    <xf numFmtId="9" fontId="13" fillId="0" borderId="2" xfId="4" applyNumberFormat="1" applyFont="1" applyBorder="1" applyAlignment="1" applyProtection="1">
      <alignment horizontal="center"/>
    </xf>
    <xf numFmtId="9" fontId="13" fillId="0" borderId="0" xfId="4" applyFont="1" applyAlignment="1" applyProtection="1"/>
    <xf numFmtId="171" fontId="20" fillId="2" borderId="7" xfId="2" applyNumberFormat="1" applyFont="1" applyFill="1" applyBorder="1" applyAlignment="1" applyProtection="1">
      <alignment horizontal="center"/>
    </xf>
    <xf numFmtId="171" fontId="20" fillId="2" borderId="71" xfId="2" applyNumberFormat="1" applyFont="1" applyFill="1" applyBorder="1" applyAlignment="1" applyProtection="1">
      <alignment horizontal="center"/>
    </xf>
    <xf numFmtId="171" fontId="13" fillId="0" borderId="2" xfId="3" applyNumberFormat="1" applyFont="1" applyBorder="1" applyAlignment="1" applyProtection="1"/>
    <xf numFmtId="167" fontId="7" fillId="2" borderId="8" xfId="4" applyNumberFormat="1" applyFont="1" applyFill="1" applyBorder="1" applyAlignment="1" applyProtection="1">
      <alignment horizontal="center"/>
    </xf>
    <xf numFmtId="171" fontId="20" fillId="0" borderId="41" xfId="2" applyNumberFormat="1" applyFont="1" applyFill="1" applyBorder="1" applyAlignment="1" applyProtection="1">
      <alignment horizontal="center"/>
      <protection locked="0"/>
    </xf>
    <xf numFmtId="0" fontId="13" fillId="0" borderId="0" xfId="3" applyFont="1" applyAlignment="1" applyProtection="1">
      <alignment horizontal="left"/>
    </xf>
    <xf numFmtId="0" fontId="4" fillId="0" borderId="0" xfId="3" applyFont="1" applyAlignment="1" applyProtection="1"/>
    <xf numFmtId="0" fontId="7" fillId="0" borderId="0" xfId="3" applyFont="1" applyAlignment="1" applyProtection="1">
      <alignment horizontal="right"/>
    </xf>
    <xf numFmtId="0" fontId="5" fillId="2" borderId="1" xfId="3" applyFont="1" applyFill="1" applyBorder="1" applyAlignment="1" applyProtection="1">
      <alignment horizontal="center"/>
    </xf>
    <xf numFmtId="165" fontId="18" fillId="2" borderId="38" xfId="3" applyNumberFormat="1" applyFont="1" applyFill="1" applyBorder="1" applyAlignment="1" applyProtection="1">
      <alignment horizontal="center"/>
    </xf>
    <xf numFmtId="0" fontId="3" fillId="0" borderId="0" xfId="3" applyFont="1" applyAlignment="1" applyProtection="1"/>
    <xf numFmtId="0" fontId="2" fillId="0" borderId="0" xfId="3" applyAlignment="1" applyProtection="1"/>
    <xf numFmtId="0" fontId="7" fillId="2" borderId="1" xfId="3" applyFont="1" applyFill="1" applyBorder="1" applyAlignment="1" applyProtection="1">
      <alignment horizontal="center"/>
    </xf>
    <xf numFmtId="165" fontId="18" fillId="7" borderId="38" xfId="3" applyNumberFormat="1" applyFont="1" applyFill="1" applyBorder="1" applyAlignment="1" applyProtection="1">
      <alignment horizontal="center"/>
    </xf>
    <xf numFmtId="165" fontId="27" fillId="0" borderId="0" xfId="3" applyNumberFormat="1" applyFont="1" applyAlignment="1" applyProtection="1">
      <alignment horizontal="left"/>
    </xf>
    <xf numFmtId="165" fontId="18" fillId="6" borderId="38" xfId="3" applyNumberFormat="1" applyFont="1" applyFill="1" applyBorder="1" applyAlignment="1" applyProtection="1">
      <alignment horizontal="center"/>
      <protection locked="0"/>
    </xf>
    <xf numFmtId="0" fontId="13" fillId="0" borderId="0" xfId="3" applyFont="1" applyAlignment="1" applyProtection="1"/>
    <xf numFmtId="0" fontId="20" fillId="0" borderId="0" xfId="3" applyFont="1" applyAlignment="1" applyProtection="1">
      <alignment horizontal="right"/>
    </xf>
    <xf numFmtId="164" fontId="20" fillId="2" borderId="1" xfId="3" applyNumberFormat="1" applyFont="1" applyFill="1" applyBorder="1" applyAlignment="1" applyProtection="1">
      <alignment horizontal="center"/>
    </xf>
    <xf numFmtId="0" fontId="20" fillId="2" borderId="1" xfId="3" applyFont="1" applyFill="1" applyBorder="1" applyAlignment="1" applyProtection="1">
      <alignment horizontal="center"/>
    </xf>
    <xf numFmtId="0" fontId="20" fillId="2" borderId="62" xfId="3" applyFont="1" applyFill="1" applyBorder="1" applyAlignment="1" applyProtection="1">
      <alignment horizontal="center"/>
    </xf>
    <xf numFmtId="0" fontId="21" fillId="0" borderId="0" xfId="3" applyFont="1" applyFill="1" applyAlignment="1" applyProtection="1">
      <alignment horizontal="right"/>
    </xf>
    <xf numFmtId="0" fontId="21" fillId="2" borderId="44" xfId="3" applyFont="1" applyFill="1" applyBorder="1" applyAlignment="1" applyProtection="1">
      <alignment horizontal="center"/>
    </xf>
    <xf numFmtId="164" fontId="20" fillId="0" borderId="1" xfId="3" applyNumberFormat="1" applyFont="1" applyBorder="1" applyAlignment="1" applyProtection="1">
      <alignment horizontal="center"/>
    </xf>
    <xf numFmtId="0" fontId="13" fillId="0" borderId="0" xfId="3" applyFont="1" applyAlignment="1" applyProtection="1">
      <alignment textRotation="90"/>
    </xf>
    <xf numFmtId="2" fontId="20" fillId="2" borderId="1" xfId="3" applyNumberFormat="1" applyFont="1" applyFill="1" applyBorder="1" applyAlignment="1" applyProtection="1">
      <alignment horizontal="center"/>
    </xf>
    <xf numFmtId="0" fontId="21" fillId="0" borderId="1" xfId="3" applyFont="1" applyFill="1" applyBorder="1" applyAlignment="1" applyProtection="1">
      <alignment horizontal="center"/>
    </xf>
    <xf numFmtId="0" fontId="21" fillId="0" borderId="44" xfId="3" applyFont="1" applyFill="1" applyBorder="1" applyAlignment="1" applyProtection="1">
      <alignment horizontal="center"/>
    </xf>
    <xf numFmtId="166" fontId="21" fillId="2" borderId="1" xfId="3" applyNumberFormat="1" applyFont="1" applyFill="1" applyBorder="1" applyAlignment="1" applyProtection="1">
      <alignment horizontal="center"/>
    </xf>
    <xf numFmtId="173" fontId="20" fillId="2" borderId="44" xfId="3" applyNumberFormat="1" applyFont="1" applyFill="1" applyBorder="1" applyAlignment="1" applyProtection="1">
      <alignment horizontal="center"/>
    </xf>
    <xf numFmtId="1" fontId="20" fillId="2" borderId="1" xfId="3" applyNumberFormat="1" applyFont="1" applyFill="1" applyBorder="1" applyAlignment="1" applyProtection="1">
      <alignment horizontal="center"/>
    </xf>
    <xf numFmtId="0" fontId="20" fillId="2" borderId="0" xfId="3" applyFont="1" applyFill="1" applyBorder="1" applyAlignment="1" applyProtection="1">
      <alignment horizontal="center" wrapText="1"/>
    </xf>
    <xf numFmtId="0" fontId="20" fillId="2" borderId="61" xfId="3" applyFont="1" applyFill="1" applyBorder="1" applyAlignment="1" applyProtection="1">
      <alignment horizontal="center" wrapText="1"/>
    </xf>
    <xf numFmtId="0" fontId="8" fillId="0" borderId="0" xfId="3" applyFont="1" applyBorder="1" applyAlignment="1" applyProtection="1">
      <alignment horizontal="center" textRotation="90"/>
    </xf>
    <xf numFmtId="0" fontId="20" fillId="0" borderId="0" xfId="3" applyFont="1" applyAlignment="1" applyProtection="1">
      <alignment horizontal="center"/>
    </xf>
    <xf numFmtId="0" fontId="21" fillId="2" borderId="1" xfId="3" applyFont="1" applyFill="1" applyBorder="1" applyAlignment="1" applyProtection="1">
      <alignment horizontal="center"/>
    </xf>
    <xf numFmtId="174" fontId="21" fillId="0" borderId="1" xfId="3" applyNumberFormat="1" applyFont="1" applyFill="1" applyBorder="1" applyAlignment="1" applyProtection="1">
      <alignment horizontal="center"/>
    </xf>
    <xf numFmtId="0" fontId="20" fillId="0" borderId="0" xfId="3" applyFont="1" applyAlignment="1" applyProtection="1"/>
    <xf numFmtId="0" fontId="20" fillId="2" borderId="61" xfId="3" applyFont="1" applyFill="1" applyBorder="1" applyAlignment="1" applyProtection="1">
      <alignment horizontal="center"/>
    </xf>
    <xf numFmtId="0" fontId="8" fillId="0" borderId="1" xfId="3" applyFont="1" applyBorder="1" applyAlignment="1" applyProtection="1">
      <alignment horizontal="center" textRotation="90"/>
    </xf>
    <xf numFmtId="0" fontId="20" fillId="0" borderId="0" xfId="3" applyFont="1" applyFill="1" applyAlignment="1" applyProtection="1">
      <alignment horizontal="right"/>
    </xf>
    <xf numFmtId="0" fontId="20" fillId="0" borderId="0" xfId="3" applyFont="1" applyFill="1" applyBorder="1" applyAlignment="1" applyProtection="1">
      <alignment horizontal="center"/>
    </xf>
    <xf numFmtId="0" fontId="20" fillId="0" borderId="0" xfId="3" applyFont="1" applyFill="1" applyAlignment="1" applyProtection="1">
      <alignment horizontal="center"/>
    </xf>
    <xf numFmtId="0" fontId="21" fillId="0" borderId="0" xfId="3" applyFont="1" applyFill="1" applyBorder="1" applyAlignment="1" applyProtection="1">
      <alignment horizontal="center"/>
    </xf>
    <xf numFmtId="174" fontId="21" fillId="0" borderId="0" xfId="3" applyNumberFormat="1" applyFont="1" applyFill="1" applyBorder="1" applyAlignment="1" applyProtection="1">
      <alignment horizontal="center"/>
    </xf>
    <xf numFmtId="0" fontId="20" fillId="0" borderId="0" xfId="3" applyFont="1" applyFill="1" applyAlignment="1" applyProtection="1"/>
    <xf numFmtId="0" fontId="13" fillId="0" borderId="55" xfId="3" applyFont="1" applyFill="1" applyBorder="1" applyAlignment="1" applyProtection="1"/>
    <xf numFmtId="0" fontId="20" fillId="6" borderId="24" xfId="3" applyFont="1" applyFill="1" applyBorder="1" applyAlignment="1" applyProtection="1">
      <alignment horizontal="center" vertical="center" wrapText="1"/>
    </xf>
    <xf numFmtId="0" fontId="20" fillId="4" borderId="24" xfId="3" applyFont="1" applyFill="1" applyBorder="1" applyAlignment="1">
      <alignment horizontal="centerContinuous" vertical="center" wrapText="1"/>
    </xf>
    <xf numFmtId="0" fontId="20" fillId="4" borderId="24" xfId="3" applyFont="1" applyFill="1" applyBorder="1" applyAlignment="1">
      <alignment horizontal="center" vertical="center" wrapText="1"/>
    </xf>
    <xf numFmtId="0" fontId="20" fillId="3" borderId="25" xfId="3" applyFont="1" applyFill="1" applyBorder="1" applyAlignment="1" applyProtection="1">
      <alignment horizontal="center" vertical="center" wrapText="1"/>
    </xf>
    <xf numFmtId="0" fontId="21" fillId="3" borderId="25" xfId="3" applyFont="1" applyFill="1" applyBorder="1" applyAlignment="1" applyProtection="1">
      <alignment horizontal="center" vertical="center" wrapText="1"/>
    </xf>
    <xf numFmtId="0" fontId="21" fillId="5" borderId="26" xfId="3" applyFont="1" applyFill="1" applyBorder="1" applyAlignment="1" applyProtection="1">
      <alignment horizontal="center" vertical="center" wrapText="1"/>
    </xf>
    <xf numFmtId="0" fontId="21" fillId="5" borderId="34" xfId="3" applyFont="1" applyFill="1" applyBorder="1" applyAlignment="1" applyProtection="1">
      <alignment horizontal="center" vertical="center" wrapText="1"/>
    </xf>
    <xf numFmtId="0" fontId="21" fillId="6" borderId="24" xfId="3" applyFont="1" applyFill="1" applyBorder="1" applyAlignment="1" applyProtection="1">
      <alignment horizontal="center" vertical="center" wrapText="1"/>
    </xf>
    <xf numFmtId="0" fontId="13" fillId="0" borderId="0" xfId="3" applyFont="1" applyAlignment="1" applyProtection="1">
      <alignment wrapText="1"/>
    </xf>
    <xf numFmtId="0" fontId="14" fillId="0" borderId="3" xfId="3" applyFont="1" applyBorder="1" applyAlignment="1" applyProtection="1">
      <alignment horizontal="centerContinuous" wrapText="1"/>
    </xf>
    <xf numFmtId="0" fontId="13" fillId="0" borderId="4" xfId="3" applyFont="1" applyBorder="1" applyAlignment="1" applyProtection="1">
      <alignment horizontal="centerContinuous"/>
    </xf>
    <xf numFmtId="0" fontId="13" fillId="0" borderId="5" xfId="3" applyFont="1" applyBorder="1" applyAlignment="1" applyProtection="1">
      <alignment horizontal="centerContinuous"/>
    </xf>
    <xf numFmtId="0" fontId="14" fillId="0" borderId="4" xfId="3" applyFont="1" applyBorder="1" applyAlignment="1" applyProtection="1">
      <alignment horizontal="centerContinuous" wrapText="1"/>
    </xf>
    <xf numFmtId="0" fontId="14" fillId="0" borderId="5" xfId="3" applyFont="1" applyBorder="1" applyAlignment="1" applyProtection="1">
      <alignment horizontal="centerContinuous" wrapText="1"/>
    </xf>
    <xf numFmtId="0" fontId="14" fillId="0" borderId="3" xfId="3" applyFont="1" applyBorder="1" applyAlignment="1" applyProtection="1">
      <alignment horizontal="centerContinuous"/>
    </xf>
    <xf numFmtId="0" fontId="20" fillId="0" borderId="2" xfId="3" applyFont="1" applyBorder="1" applyAlignment="1" applyProtection="1">
      <alignment horizontal="center"/>
    </xf>
    <xf numFmtId="0" fontId="13" fillId="0" borderId="27" xfId="3" applyFont="1" applyBorder="1" applyAlignment="1">
      <alignment horizontal="left"/>
    </xf>
    <xf numFmtId="0" fontId="20" fillId="2" borderId="45" xfId="3" applyFont="1" applyFill="1" applyBorder="1" applyAlignment="1" applyProtection="1">
      <alignment horizontal="center"/>
    </xf>
    <xf numFmtId="171" fontId="20" fillId="2" borderId="46" xfId="2" applyNumberFormat="1" applyFont="1" applyFill="1" applyBorder="1" applyAlignment="1" applyProtection="1">
      <alignment horizontal="center"/>
      <protection locked="0"/>
    </xf>
    <xf numFmtId="0" fontId="28" fillId="7" borderId="28" xfId="3" applyFont="1" applyFill="1" applyBorder="1" applyAlignment="1" applyProtection="1">
      <alignment horizontal="center"/>
      <protection locked="0"/>
    </xf>
    <xf numFmtId="2" fontId="13" fillId="0" borderId="0" xfId="3" applyNumberFormat="1" applyFont="1" applyAlignment="1" applyProtection="1"/>
    <xf numFmtId="0" fontId="20" fillId="2" borderId="30" xfId="3" applyFont="1" applyFill="1" applyBorder="1" applyAlignment="1" applyProtection="1">
      <alignment horizontal="center"/>
    </xf>
    <xf numFmtId="0" fontId="28" fillId="7" borderId="30" xfId="3" applyFont="1" applyFill="1" applyBorder="1" applyAlignment="1" applyProtection="1">
      <alignment horizontal="center"/>
      <protection locked="0"/>
    </xf>
    <xf numFmtId="0" fontId="20" fillId="0" borderId="27" xfId="3" applyFont="1" applyBorder="1" applyAlignment="1">
      <alignment horizontal="left"/>
    </xf>
    <xf numFmtId="0" fontId="13" fillId="0" borderId="31" xfId="3" applyFont="1" applyBorder="1"/>
    <xf numFmtId="0" fontId="20" fillId="2" borderId="30" xfId="3" applyFont="1" applyFill="1" applyBorder="1" applyAlignment="1" applyProtection="1">
      <alignment horizontal="center"/>
      <protection locked="0"/>
    </xf>
    <xf numFmtId="2" fontId="30" fillId="0" borderId="0" xfId="3" applyNumberFormat="1" applyFont="1" applyAlignment="1" applyProtection="1"/>
    <xf numFmtId="0" fontId="20" fillId="0" borderId="32" xfId="3" applyFont="1" applyBorder="1" applyAlignment="1">
      <alignment horizontal="left" vertical="top"/>
    </xf>
    <xf numFmtId="0" fontId="20" fillId="3" borderId="3" xfId="3" applyFont="1" applyFill="1" applyBorder="1" applyAlignment="1">
      <alignment horizontal="center" vertical="top"/>
    </xf>
    <xf numFmtId="0" fontId="20" fillId="3" borderId="33" xfId="3" applyFont="1" applyFill="1" applyBorder="1" applyAlignment="1">
      <alignment vertical="center"/>
    </xf>
    <xf numFmtId="0" fontId="20" fillId="5" borderId="26" xfId="3" applyFont="1" applyFill="1" applyBorder="1" applyAlignment="1">
      <alignment horizontal="center" vertical="top"/>
    </xf>
    <xf numFmtId="0" fontId="4" fillId="0" borderId="0" xfId="3" applyFont="1" applyBorder="1" applyAlignment="1" applyProtection="1">
      <alignment horizontal="left"/>
    </xf>
    <xf numFmtId="0" fontId="10" fillId="0" borderId="0" xfId="3" applyFont="1" applyFill="1" applyAlignment="1" applyProtection="1"/>
    <xf numFmtId="0" fontId="11" fillId="0" borderId="0" xfId="3" applyFont="1" applyFill="1" applyAlignment="1" applyProtection="1"/>
    <xf numFmtId="0" fontId="20" fillId="4" borderId="3" xfId="3" applyFont="1" applyFill="1" applyBorder="1" applyAlignment="1">
      <alignment horizontal="centerContinuous" vertical="center" wrapText="1"/>
    </xf>
    <xf numFmtId="0" fontId="20" fillId="4" borderId="5" xfId="3" applyFont="1" applyFill="1" applyBorder="1" applyAlignment="1">
      <alignment horizontal="centerContinuous" vertical="center" wrapText="1"/>
    </xf>
    <xf numFmtId="0" fontId="20" fillId="3" borderId="24" xfId="3" applyFont="1" applyFill="1" applyBorder="1" applyAlignment="1">
      <alignment horizontal="center" vertical="center" wrapText="1"/>
    </xf>
    <xf numFmtId="0" fontId="20" fillId="5" borderId="24" xfId="3" applyFont="1" applyFill="1" applyBorder="1" applyAlignment="1">
      <alignment horizontal="center" vertical="center" wrapText="1"/>
    </xf>
    <xf numFmtId="0" fontId="20" fillId="6" borderId="24" xfId="3" applyFont="1" applyFill="1" applyBorder="1" applyAlignment="1">
      <alignment horizontal="center" vertical="center" wrapText="1"/>
    </xf>
    <xf numFmtId="0" fontId="20" fillId="0" borderId="0" xfId="3" applyFont="1" applyAlignment="1" applyProtection="1">
      <alignment horizontal="center" wrapText="1"/>
    </xf>
    <xf numFmtId="0" fontId="13" fillId="0" borderId="31" xfId="3" applyFont="1" applyBorder="1" applyAlignment="1">
      <alignment horizontal="left"/>
    </xf>
    <xf numFmtId="0" fontId="13" fillId="0" borderId="44" xfId="3" applyFont="1" applyBorder="1"/>
    <xf numFmtId="171" fontId="20" fillId="2" borderId="41" xfId="2" applyNumberFormat="1" applyFont="1" applyFill="1" applyBorder="1" applyAlignment="1" applyProtection="1">
      <alignment horizontal="center"/>
    </xf>
    <xf numFmtId="171" fontId="13" fillId="0" borderId="43" xfId="2" applyNumberFormat="1" applyFont="1" applyBorder="1" applyAlignment="1">
      <alignment horizontal="right"/>
    </xf>
    <xf numFmtId="171" fontId="28" fillId="0" borderId="35" xfId="2" applyNumberFormat="1" applyFont="1" applyFill="1" applyBorder="1" applyAlignment="1">
      <alignment horizontal="right"/>
    </xf>
    <xf numFmtId="0" fontId="13" fillId="0" borderId="61" xfId="3" applyFont="1" applyBorder="1"/>
    <xf numFmtId="171" fontId="13" fillId="0" borderId="48" xfId="2" applyNumberFormat="1" applyFont="1" applyBorder="1" applyAlignment="1">
      <alignment horizontal="right"/>
    </xf>
    <xf numFmtId="0" fontId="20" fillId="3" borderId="3" xfId="3" applyFont="1" applyFill="1" applyBorder="1" applyAlignment="1">
      <alignment horizontal="center"/>
    </xf>
    <xf numFmtId="0" fontId="20" fillId="3" borderId="33" xfId="3" applyFont="1" applyFill="1" applyBorder="1" applyAlignment="1"/>
    <xf numFmtId="188" fontId="13" fillId="8" borderId="2" xfId="3" applyNumberFormat="1" applyFont="1" applyFill="1" applyBorder="1" applyAlignment="1" applyProtection="1">
      <alignment horizontal="center"/>
    </xf>
    <xf numFmtId="171" fontId="20" fillId="8" borderId="2" xfId="3" applyNumberFormat="1" applyFont="1" applyFill="1" applyBorder="1" applyAlignment="1" applyProtection="1">
      <alignment horizontal="center"/>
    </xf>
    <xf numFmtId="171" fontId="13" fillId="0" borderId="58" xfId="2" applyNumberFormat="1" applyFont="1" applyBorder="1" applyAlignment="1">
      <alignment horizontal="right"/>
    </xf>
    <xf numFmtId="171" fontId="20" fillId="0" borderId="59" xfId="2" applyNumberFormat="1" applyFont="1" applyBorder="1" applyAlignment="1">
      <alignment horizontal="right"/>
    </xf>
    <xf numFmtId="171" fontId="28" fillId="0" borderId="0" xfId="2" applyNumberFormat="1" applyFont="1" applyFill="1" applyBorder="1" applyAlignment="1">
      <alignment horizontal="right"/>
    </xf>
    <xf numFmtId="171" fontId="29" fillId="0" borderId="0" xfId="2" applyNumberFormat="1" applyFont="1" applyFill="1" applyBorder="1" applyAlignment="1">
      <alignment horizontal="right"/>
    </xf>
    <xf numFmtId="9" fontId="13" fillId="0" borderId="0" xfId="4" applyFont="1" applyBorder="1" applyAlignment="1" applyProtection="1"/>
    <xf numFmtId="0" fontId="13" fillId="0" borderId="0" xfId="3" applyFont="1" applyBorder="1" applyAlignment="1" applyProtection="1"/>
    <xf numFmtId="0" fontId="13" fillId="0" borderId="45" xfId="3" applyFont="1" applyBorder="1" applyAlignment="1">
      <alignment horizontal="left"/>
    </xf>
    <xf numFmtId="189" fontId="20" fillId="3" borderId="46" xfId="3" applyNumberFormat="1" applyFont="1" applyFill="1" applyBorder="1" applyAlignment="1" applyProtection="1">
      <alignment horizontal="center"/>
    </xf>
    <xf numFmtId="171" fontId="13" fillId="0" borderId="45" xfId="2" applyNumberFormat="1" applyFont="1" applyFill="1" applyBorder="1" applyAlignment="1" applyProtection="1">
      <alignment horizontal="right"/>
    </xf>
    <xf numFmtId="190" fontId="20" fillId="0" borderId="46" xfId="2" applyNumberFormat="1" applyFont="1" applyBorder="1" applyAlignment="1">
      <alignment horizontal="right"/>
    </xf>
    <xf numFmtId="171" fontId="28" fillId="0" borderId="96" xfId="2" applyNumberFormat="1" applyFont="1" applyFill="1" applyBorder="1" applyAlignment="1">
      <alignment horizontal="right"/>
    </xf>
    <xf numFmtId="171" fontId="29" fillId="0" borderId="96" xfId="2" applyNumberFormat="1" applyFont="1" applyFill="1" applyBorder="1" applyAlignment="1">
      <alignment horizontal="right"/>
    </xf>
    <xf numFmtId="172" fontId="20" fillId="0" borderId="0" xfId="3" applyNumberFormat="1" applyFont="1" applyAlignment="1" applyProtection="1"/>
    <xf numFmtId="0" fontId="13" fillId="0" borderId="37" xfId="3" applyFont="1" applyBorder="1" applyAlignment="1">
      <alignment horizontal="left"/>
    </xf>
    <xf numFmtId="9" fontId="20" fillId="8" borderId="42" xfId="4" applyFont="1" applyFill="1" applyBorder="1" applyAlignment="1">
      <alignment horizontal="center"/>
    </xf>
    <xf numFmtId="0" fontId="20" fillId="2" borderId="67" xfId="3" applyFont="1" applyFill="1" applyBorder="1" applyAlignment="1" applyProtection="1">
      <alignment horizontal="center"/>
      <protection locked="0"/>
    </xf>
    <xf numFmtId="172" fontId="20" fillId="0" borderId="42" xfId="2" applyNumberFormat="1" applyFont="1" applyFill="1" applyBorder="1" applyAlignment="1" applyProtection="1">
      <alignment horizontal="center"/>
      <protection locked="0"/>
    </xf>
    <xf numFmtId="171" fontId="13" fillId="0" borderId="67" xfId="2" applyNumberFormat="1" applyFont="1" applyBorder="1" applyAlignment="1">
      <alignment horizontal="right"/>
    </xf>
    <xf numFmtId="171" fontId="20" fillId="0" borderId="68" xfId="2" applyNumberFormat="1" applyFont="1" applyBorder="1" applyAlignment="1">
      <alignment horizontal="right"/>
    </xf>
    <xf numFmtId="171" fontId="28" fillId="0" borderId="97" xfId="2" applyNumberFormat="1" applyFont="1" applyFill="1" applyBorder="1" applyAlignment="1">
      <alignment horizontal="right"/>
    </xf>
    <xf numFmtId="171" fontId="29" fillId="0" borderId="97" xfId="2" applyNumberFormat="1" applyFont="1" applyFill="1" applyBorder="1" applyAlignment="1">
      <alignment horizontal="right"/>
    </xf>
    <xf numFmtId="0" fontId="20" fillId="0" borderId="31" xfId="3" applyFont="1" applyBorder="1" applyAlignment="1">
      <alignment horizontal="left"/>
    </xf>
    <xf numFmtId="9" fontId="20" fillId="3" borderId="57" xfId="4" applyFont="1" applyFill="1" applyBorder="1" applyAlignment="1">
      <alignment horizontal="center"/>
    </xf>
    <xf numFmtId="0" fontId="20" fillId="2" borderId="45" xfId="3" applyFont="1" applyFill="1" applyBorder="1" applyAlignment="1" applyProtection="1">
      <alignment horizontal="center"/>
      <protection locked="0"/>
    </xf>
    <xf numFmtId="171" fontId="28" fillId="0" borderId="98" xfId="2" applyNumberFormat="1" applyFont="1" applyFill="1" applyBorder="1" applyAlignment="1">
      <alignment horizontal="right"/>
    </xf>
    <xf numFmtId="0" fontId="13" fillId="0" borderId="75" xfId="3" applyFont="1" applyBorder="1" applyAlignment="1">
      <alignment horizontal="left"/>
    </xf>
    <xf numFmtId="0" fontId="20" fillId="2" borderId="28" xfId="3" applyFont="1" applyFill="1" applyBorder="1" applyAlignment="1" applyProtection="1">
      <alignment horizontal="center"/>
      <protection locked="0"/>
    </xf>
    <xf numFmtId="0" fontId="13" fillId="0" borderId="90" xfId="3" applyFont="1" applyBorder="1" applyAlignment="1">
      <alignment horizontal="left"/>
    </xf>
    <xf numFmtId="0" fontId="20" fillId="3" borderId="46" xfId="3" applyFont="1" applyFill="1" applyBorder="1" applyAlignment="1">
      <alignment horizontal="center"/>
    </xf>
    <xf numFmtId="0" fontId="20" fillId="2" borderId="43" xfId="3" applyFont="1" applyFill="1" applyBorder="1" applyAlignment="1" applyProtection="1">
      <alignment horizontal="center"/>
      <protection locked="0"/>
    </xf>
    <xf numFmtId="171" fontId="28" fillId="0" borderId="99" xfId="2" applyNumberFormat="1" applyFont="1" applyFill="1" applyBorder="1" applyAlignment="1">
      <alignment horizontal="right"/>
    </xf>
    <xf numFmtId="0" fontId="20" fillId="0" borderId="0" xfId="3" applyFont="1" applyBorder="1" applyAlignment="1">
      <alignment vertical="top"/>
    </xf>
    <xf numFmtId="0" fontId="20" fillId="0" borderId="0" xfId="3" applyFont="1" applyBorder="1" applyAlignment="1">
      <alignment horizontal="center" vertical="top"/>
    </xf>
    <xf numFmtId="171" fontId="20" fillId="0" borderId="0" xfId="2" applyNumberFormat="1" applyFont="1" applyBorder="1" applyAlignment="1">
      <alignment horizontal="center" vertical="top"/>
    </xf>
    <xf numFmtId="171" fontId="20" fillId="3" borderId="26" xfId="3" applyNumberFormat="1" applyFont="1" applyFill="1" applyBorder="1"/>
    <xf numFmtId="171" fontId="20" fillId="3" borderId="34" xfId="3" applyNumberFormat="1" applyFont="1" applyFill="1" applyBorder="1"/>
    <xf numFmtId="171" fontId="21" fillId="5" borderId="34" xfId="2" applyNumberFormat="1" applyFont="1" applyFill="1" applyBorder="1" applyAlignment="1">
      <alignment horizontal="center" vertical="center"/>
    </xf>
    <xf numFmtId="171" fontId="21" fillId="6" borderId="34" xfId="2" applyNumberFormat="1" applyFont="1" applyFill="1" applyBorder="1" applyAlignment="1">
      <alignment horizontal="center" vertical="center"/>
    </xf>
    <xf numFmtId="0" fontId="7" fillId="0" borderId="0" xfId="3" applyFont="1" applyBorder="1" applyAlignment="1" applyProtection="1">
      <alignment horizontal="left"/>
    </xf>
    <xf numFmtId="0" fontId="7" fillId="0" borderId="0" xfId="3" applyFont="1" applyAlignment="1" applyProtection="1">
      <alignment horizontal="center"/>
    </xf>
    <xf numFmtId="0" fontId="11" fillId="0" borderId="0" xfId="3" applyFont="1" applyFill="1" applyAlignment="1" applyProtection="1">
      <alignment horizontal="center"/>
    </xf>
    <xf numFmtId="44" fontId="11" fillId="0" borderId="0" xfId="3" applyNumberFormat="1" applyFont="1" applyFill="1" applyAlignment="1" applyProtection="1">
      <alignment horizontal="center"/>
    </xf>
    <xf numFmtId="0" fontId="20" fillId="7" borderId="24" xfId="3" applyFont="1" applyFill="1" applyBorder="1" applyAlignment="1">
      <alignment horizontal="center" vertical="center" wrapText="1"/>
    </xf>
    <xf numFmtId="0" fontId="13" fillId="0" borderId="0" xfId="3" applyFont="1" applyAlignment="1" applyProtection="1">
      <alignment horizontal="center" wrapText="1"/>
    </xf>
    <xf numFmtId="0" fontId="20" fillId="0" borderId="6" xfId="3" applyFont="1" applyBorder="1" applyAlignment="1" applyProtection="1">
      <alignment horizontal="center"/>
    </xf>
    <xf numFmtId="0" fontId="20" fillId="0" borderId="31" xfId="3" applyFont="1" applyBorder="1" applyAlignment="1" applyProtection="1">
      <alignment horizontal="left"/>
    </xf>
    <xf numFmtId="0" fontId="20" fillId="2" borderId="7" xfId="3" applyFont="1" applyFill="1" applyBorder="1" applyAlignment="1" applyProtection="1">
      <alignment horizontal="center"/>
      <protection locked="0"/>
    </xf>
    <xf numFmtId="0" fontId="20" fillId="7" borderId="28" xfId="3" applyFont="1" applyFill="1" applyBorder="1" applyAlignment="1" applyProtection="1">
      <alignment horizontal="center"/>
      <protection locked="0"/>
    </xf>
    <xf numFmtId="0" fontId="20" fillId="0" borderId="27" xfId="3" applyFont="1" applyBorder="1" applyAlignment="1" applyProtection="1">
      <alignment horizontal="left"/>
    </xf>
    <xf numFmtId="0" fontId="20" fillId="2" borderId="2" xfId="3" applyFont="1" applyFill="1" applyBorder="1" applyAlignment="1" applyProtection="1">
      <alignment horizontal="center"/>
      <protection locked="0"/>
    </xf>
    <xf numFmtId="0" fontId="20" fillId="7" borderId="30" xfId="3" applyFont="1" applyFill="1" applyBorder="1" applyAlignment="1" applyProtection="1">
      <alignment horizontal="center"/>
      <protection locked="0"/>
    </xf>
    <xf numFmtId="0" fontId="20" fillId="0" borderId="30" xfId="3" applyFont="1" applyFill="1" applyBorder="1" applyAlignment="1" applyProtection="1">
      <alignment horizontal="center"/>
      <protection locked="0"/>
    </xf>
    <xf numFmtId="0" fontId="20" fillId="8" borderId="2" xfId="3" applyFont="1" applyFill="1" applyBorder="1" applyAlignment="1" applyProtection="1">
      <alignment horizontal="center"/>
      <protection locked="0"/>
    </xf>
    <xf numFmtId="0" fontId="20" fillId="0" borderId="8" xfId="3" applyFont="1" applyBorder="1" applyAlignment="1" applyProtection="1">
      <alignment horizontal="center"/>
    </xf>
    <xf numFmtId="0" fontId="20" fillId="0" borderId="7" xfId="3" applyFont="1" applyFill="1" applyBorder="1" applyAlignment="1" applyProtection="1">
      <alignment horizontal="center"/>
      <protection locked="0"/>
    </xf>
    <xf numFmtId="171" fontId="13" fillId="0" borderId="30" xfId="2" applyNumberFormat="1" applyFont="1" applyBorder="1" applyAlignment="1">
      <alignment horizontal="right"/>
    </xf>
    <xf numFmtId="0" fontId="20" fillId="0" borderId="28" xfId="3" applyFont="1" applyFill="1" applyBorder="1" applyAlignment="1" applyProtection="1">
      <alignment horizontal="center"/>
      <protection locked="0"/>
    </xf>
    <xf numFmtId="0" fontId="20" fillId="0" borderId="2" xfId="3" applyFont="1" applyFill="1" applyBorder="1" applyAlignment="1" applyProtection="1">
      <alignment horizontal="center"/>
    </xf>
    <xf numFmtId="0" fontId="20" fillId="0" borderId="30" xfId="3" applyFont="1" applyFill="1" applyBorder="1" applyAlignment="1" applyProtection="1">
      <alignment horizontal="center"/>
    </xf>
    <xf numFmtId="0" fontId="13" fillId="0" borderId="27" xfId="3" applyFont="1" applyBorder="1" applyAlignment="1" applyProtection="1">
      <alignment horizontal="left"/>
    </xf>
    <xf numFmtId="171" fontId="28" fillId="0" borderId="100" xfId="2" applyNumberFormat="1" applyFont="1" applyFill="1" applyBorder="1" applyAlignment="1">
      <alignment horizontal="right"/>
    </xf>
    <xf numFmtId="171" fontId="28" fillId="0" borderId="101" xfId="2" applyNumberFormat="1" applyFont="1" applyFill="1" applyBorder="1" applyAlignment="1">
      <alignment horizontal="right"/>
    </xf>
    <xf numFmtId="0" fontId="13" fillId="0" borderId="75" xfId="3" applyFont="1" applyBorder="1" applyAlignment="1" applyProtection="1">
      <alignment horizontal="left"/>
    </xf>
    <xf numFmtId="0" fontId="20" fillId="2" borderId="10" xfId="3" applyFont="1" applyFill="1" applyBorder="1" applyAlignment="1" applyProtection="1">
      <alignment horizontal="center"/>
      <protection locked="0"/>
    </xf>
    <xf numFmtId="171" fontId="20" fillId="2" borderId="42" xfId="2" applyNumberFormat="1" applyFont="1" applyFill="1" applyBorder="1" applyAlignment="1" applyProtection="1">
      <alignment horizontal="center"/>
      <protection locked="0"/>
    </xf>
    <xf numFmtId="171" fontId="13" fillId="0" borderId="37" xfId="2" applyNumberFormat="1" applyFont="1" applyBorder="1" applyAlignment="1">
      <alignment horizontal="right"/>
    </xf>
    <xf numFmtId="171" fontId="20" fillId="0" borderId="42" xfId="2" applyNumberFormat="1" applyFont="1" applyBorder="1" applyAlignment="1">
      <alignment horizontal="right"/>
    </xf>
    <xf numFmtId="0" fontId="20" fillId="7" borderId="37" xfId="3" applyFont="1" applyFill="1" applyBorder="1" applyAlignment="1" applyProtection="1">
      <alignment horizontal="center"/>
      <protection locked="0"/>
    </xf>
    <xf numFmtId="0" fontId="13" fillId="0" borderId="28" xfId="3" applyFont="1" applyBorder="1" applyAlignment="1">
      <alignment horizontal="left"/>
    </xf>
    <xf numFmtId="171" fontId="20" fillId="2" borderId="69" xfId="2" applyNumberFormat="1" applyFont="1" applyFill="1" applyBorder="1" applyAlignment="1" applyProtection="1">
      <alignment horizontal="center"/>
    </xf>
    <xf numFmtId="0" fontId="13" fillId="0" borderId="30" xfId="3" applyFont="1" applyFill="1" applyBorder="1" applyAlignment="1" applyProtection="1">
      <alignment horizontal="left"/>
    </xf>
    <xf numFmtId="0" fontId="20" fillId="3" borderId="2" xfId="3" applyFont="1" applyFill="1" applyBorder="1" applyAlignment="1" applyProtection="1">
      <alignment horizontal="center" wrapText="1"/>
    </xf>
    <xf numFmtId="1" fontId="20" fillId="0" borderId="2" xfId="3" applyNumberFormat="1" applyFont="1" applyFill="1" applyBorder="1" applyAlignment="1" applyProtection="1">
      <alignment horizontal="center"/>
    </xf>
    <xf numFmtId="1" fontId="20" fillId="0" borderId="30" xfId="3" applyNumberFormat="1" applyFont="1" applyFill="1" applyBorder="1" applyAlignment="1" applyProtection="1">
      <alignment horizontal="center"/>
    </xf>
    <xf numFmtId="0" fontId="13" fillId="0" borderId="37" xfId="3" applyFont="1" applyFill="1" applyBorder="1" applyAlignment="1" applyProtection="1">
      <alignment horizontal="left"/>
    </xf>
    <xf numFmtId="1" fontId="20" fillId="0" borderId="10" xfId="3" applyNumberFormat="1" applyFont="1" applyFill="1" applyBorder="1" applyAlignment="1" applyProtection="1">
      <alignment horizontal="center"/>
    </xf>
    <xf numFmtId="1" fontId="20" fillId="0" borderId="37" xfId="3" applyNumberFormat="1" applyFont="1" applyFill="1" applyBorder="1" applyAlignment="1" applyProtection="1">
      <alignment horizontal="center"/>
    </xf>
    <xf numFmtId="0" fontId="4" fillId="0" borderId="0" xfId="3" applyFont="1" applyBorder="1" applyAlignment="1" applyProtection="1"/>
    <xf numFmtId="0" fontId="4" fillId="0" borderId="0" xfId="3" applyFont="1" applyBorder="1" applyAlignment="1">
      <alignment horizontal="left"/>
    </xf>
    <xf numFmtId="0" fontId="4" fillId="0" borderId="0" xfId="3" applyFont="1" applyBorder="1"/>
    <xf numFmtId="0" fontId="4" fillId="0" borderId="40" xfId="3" applyFont="1" applyBorder="1" applyAlignment="1" applyProtection="1"/>
    <xf numFmtId="0" fontId="4" fillId="0" borderId="0" xfId="3" applyFont="1" applyFill="1" applyAlignment="1" applyProtection="1"/>
    <xf numFmtId="0" fontId="4" fillId="0" borderId="0" xfId="3" applyFont="1" applyFill="1" applyBorder="1" applyAlignment="1">
      <alignment horizontal="left"/>
    </xf>
    <xf numFmtId="0" fontId="4" fillId="0" borderId="0" xfId="3" applyFont="1" applyFill="1" applyBorder="1"/>
    <xf numFmtId="171" fontId="20" fillId="0" borderId="32" xfId="3" applyNumberFormat="1" applyFont="1" applyFill="1" applyBorder="1"/>
    <xf numFmtId="171" fontId="20" fillId="0" borderId="0" xfId="3" applyNumberFormat="1" applyFont="1" applyFill="1" applyBorder="1"/>
    <xf numFmtId="171" fontId="21" fillId="0" borderId="32" xfId="2" applyNumberFormat="1" applyFont="1" applyFill="1" applyBorder="1" applyAlignment="1">
      <alignment horizontal="center" vertical="center"/>
    </xf>
    <xf numFmtId="0" fontId="2" fillId="0" borderId="0" xfId="3" applyFill="1" applyAlignment="1" applyProtection="1"/>
    <xf numFmtId="0" fontId="7" fillId="0" borderId="15" xfId="3" applyFont="1" applyBorder="1" applyAlignment="1" applyProtection="1">
      <alignment horizontal="center"/>
    </xf>
    <xf numFmtId="171" fontId="20" fillId="0" borderId="0" xfId="3" applyNumberFormat="1" applyFont="1" applyFill="1" applyBorder="1" applyAlignment="1">
      <alignment horizontal="right"/>
    </xf>
    <xf numFmtId="171" fontId="7" fillId="3" borderId="38" xfId="3" applyNumberFormat="1" applyFont="1" applyFill="1" applyBorder="1" applyAlignment="1">
      <alignment horizontal="center"/>
    </xf>
    <xf numFmtId="171" fontId="11" fillId="5" borderId="102" xfId="2" applyNumberFormat="1" applyFont="1" applyFill="1" applyBorder="1" applyAlignment="1">
      <alignment horizontal="center" vertical="center"/>
    </xf>
    <xf numFmtId="171" fontId="11" fillId="6" borderId="103" xfId="2" applyNumberFormat="1" applyFont="1" applyFill="1" applyBorder="1" applyAlignment="1">
      <alignment horizontal="center" vertical="center"/>
    </xf>
    <xf numFmtId="0" fontId="6" fillId="0" borderId="0" xfId="3" applyFont="1" applyAlignment="1" applyProtection="1"/>
    <xf numFmtId="171" fontId="11" fillId="2" borderId="38" xfId="3" applyNumberFormat="1" applyFont="1" applyFill="1" applyBorder="1" applyAlignment="1" applyProtection="1">
      <alignment horizontal="center"/>
    </xf>
    <xf numFmtId="171" fontId="11" fillId="2" borderId="102" xfId="3" applyNumberFormat="1" applyFont="1" applyFill="1" applyBorder="1" applyAlignment="1" applyProtection="1">
      <alignment horizontal="center"/>
    </xf>
    <xf numFmtId="171" fontId="18" fillId="0" borderId="0" xfId="3" applyNumberFormat="1" applyFont="1" applyFill="1" applyBorder="1" applyAlignment="1" applyProtection="1">
      <alignment horizontal="center"/>
    </xf>
    <xf numFmtId="0" fontId="6" fillId="0" borderId="0" xfId="3" applyFont="1" applyFill="1" applyBorder="1" applyAlignment="1" applyProtection="1"/>
    <xf numFmtId="0" fontId="40" fillId="0" borderId="0" xfId="3" applyFont="1" applyAlignment="1" applyProtection="1">
      <alignment horizontal="centerContinuous" vertical="center"/>
    </xf>
    <xf numFmtId="0" fontId="2" fillId="0" borderId="0" xfId="3" applyFill="1" applyBorder="1" applyAlignment="1" applyProtection="1"/>
    <xf numFmtId="0" fontId="7" fillId="0" borderId="0" xfId="3" applyFont="1" applyAlignment="1" applyProtection="1"/>
    <xf numFmtId="0" fontId="7" fillId="0" borderId="13" xfId="3" applyFont="1" applyBorder="1" applyAlignment="1" applyProtection="1"/>
    <xf numFmtId="0" fontId="17" fillId="0" borderId="7" xfId="3" applyFont="1" applyBorder="1" applyAlignment="1" applyProtection="1">
      <alignment horizontal="center" wrapText="1"/>
    </xf>
    <xf numFmtId="0" fontId="17" fillId="0" borderId="6" xfId="3" applyFont="1" applyBorder="1" applyAlignment="1" applyProtection="1">
      <alignment horizontal="center" wrapText="1"/>
    </xf>
    <xf numFmtId="0" fontId="17" fillId="0" borderId="0" xfId="3" applyFont="1" applyBorder="1" applyAlignment="1" applyProtection="1">
      <alignment horizontal="center"/>
    </xf>
    <xf numFmtId="0" fontId="17" fillId="0" borderId="104" xfId="3" applyFont="1" applyBorder="1" applyAlignment="1" applyProtection="1">
      <alignment horizontal="center" wrapText="1"/>
    </xf>
    <xf numFmtId="0" fontId="17" fillId="0" borderId="0" xfId="3" applyFont="1" applyAlignment="1" applyProtection="1"/>
    <xf numFmtId="0" fontId="20" fillId="0" borderId="2" xfId="3" applyFont="1" applyBorder="1" applyAlignment="1" applyProtection="1">
      <alignment horizontal="left"/>
    </xf>
    <xf numFmtId="164" fontId="13" fillId="0" borderId="2" xfId="3" applyNumberFormat="1" applyFont="1" applyBorder="1" applyAlignment="1" applyProtection="1">
      <alignment horizontal="center"/>
    </xf>
    <xf numFmtId="164" fontId="13" fillId="0" borderId="6" xfId="3" applyNumberFormat="1" applyFont="1" applyBorder="1" applyAlignment="1" applyProtection="1">
      <alignment horizontal="center"/>
    </xf>
    <xf numFmtId="164" fontId="13" fillId="0" borderId="105" xfId="3" applyNumberFormat="1" applyFont="1" applyBorder="1" applyAlignment="1" applyProtection="1">
      <alignment horizontal="center"/>
    </xf>
    <xf numFmtId="9" fontId="17" fillId="3" borderId="2" xfId="4" applyFont="1" applyFill="1" applyBorder="1" applyAlignment="1" applyProtection="1"/>
    <xf numFmtId="0" fontId="20" fillId="0" borderId="106" xfId="3" applyFont="1" applyBorder="1" applyAlignment="1" applyProtection="1">
      <alignment horizontal="left"/>
    </xf>
    <xf numFmtId="164" fontId="13" fillId="0" borderId="107" xfId="3" applyNumberFormat="1" applyFont="1" applyBorder="1" applyAlignment="1" applyProtection="1">
      <alignment horizontal="center"/>
    </xf>
    <xf numFmtId="164" fontId="13" fillId="0" borderId="108" xfId="3" applyNumberFormat="1" applyFont="1" applyBorder="1" applyAlignment="1" applyProtection="1">
      <alignment horizontal="center"/>
    </xf>
    <xf numFmtId="164" fontId="13" fillId="0" borderId="109" xfId="3" applyNumberFormat="1" applyFont="1" applyBorder="1" applyAlignment="1" applyProtection="1">
      <alignment horizontal="center"/>
    </xf>
    <xf numFmtId="164" fontId="13" fillId="0" borderId="110" xfId="3" applyNumberFormat="1" applyFont="1" applyBorder="1" applyAlignment="1" applyProtection="1">
      <alignment horizontal="center"/>
    </xf>
    <xf numFmtId="0" fontId="13" fillId="0" borderId="0" xfId="3" applyFont="1" applyFill="1" applyBorder="1" applyAlignment="1" applyProtection="1"/>
    <xf numFmtId="0" fontId="20" fillId="0" borderId="94" xfId="6" applyFont="1" applyFill="1" applyBorder="1" applyAlignment="1" applyProtection="1">
      <alignment horizontal="right"/>
    </xf>
    <xf numFmtId="164" fontId="20" fillId="0" borderId="94" xfId="3" applyNumberFormat="1" applyFont="1" applyFill="1" applyBorder="1" applyAlignment="1" applyProtection="1">
      <alignment horizontal="center"/>
    </xf>
    <xf numFmtId="164" fontId="20" fillId="0" borderId="111" xfId="3" applyNumberFormat="1" applyFont="1" applyFill="1" applyBorder="1" applyAlignment="1" applyProtection="1">
      <alignment horizontal="center"/>
    </xf>
    <xf numFmtId="164" fontId="20" fillId="0" borderId="76" xfId="3" applyNumberFormat="1" applyFont="1" applyFill="1" applyBorder="1" applyAlignment="1" applyProtection="1">
      <alignment horizontal="center"/>
    </xf>
    <xf numFmtId="164" fontId="20" fillId="0" borderId="82" xfId="3" applyNumberFormat="1" applyFont="1" applyFill="1" applyBorder="1" applyAlignment="1" applyProtection="1">
      <alignment horizontal="center"/>
    </xf>
    <xf numFmtId="164" fontId="20" fillId="0" borderId="95" xfId="3" applyNumberFormat="1" applyFont="1" applyFill="1" applyBorder="1" applyAlignment="1" applyProtection="1">
      <alignment horizontal="center"/>
    </xf>
    <xf numFmtId="0" fontId="20" fillId="0" borderId="112" xfId="6" applyFont="1" applyFill="1" applyBorder="1" applyAlignment="1" applyProtection="1">
      <alignment horizontal="right"/>
    </xf>
    <xf numFmtId="164" fontId="20" fillId="0" borderId="1" xfId="3" applyNumberFormat="1" applyFont="1" applyFill="1" applyBorder="1" applyAlignment="1" applyProtection="1">
      <alignment horizontal="center"/>
    </xf>
    <xf numFmtId="0" fontId="5" fillId="3" borderId="43" xfId="3" applyFont="1" applyFill="1" applyBorder="1" applyAlignment="1" applyProtection="1">
      <alignment horizontal="centerContinuous" wrapText="1"/>
    </xf>
    <xf numFmtId="0" fontId="20" fillId="3" borderId="7" xfId="3" applyFont="1" applyFill="1" applyBorder="1" applyAlignment="1" applyProtection="1">
      <alignment horizontal="center" wrapText="1"/>
    </xf>
    <xf numFmtId="0" fontId="20" fillId="3" borderId="1" xfId="3" applyFont="1" applyFill="1" applyBorder="1" applyAlignment="1" applyProtection="1">
      <alignment horizontal="center" wrapText="1"/>
    </xf>
    <xf numFmtId="0" fontId="21" fillId="3" borderId="7" xfId="3" applyFont="1" applyFill="1" applyBorder="1" applyAlignment="1" applyProtection="1">
      <alignment horizontal="center" wrapText="1"/>
    </xf>
    <xf numFmtId="0" fontId="20" fillId="0" borderId="49" xfId="3" applyFont="1" applyBorder="1" applyAlignment="1" applyProtection="1">
      <alignment horizontal="center"/>
    </xf>
    <xf numFmtId="191" fontId="13" fillId="0" borderId="12" xfId="6" applyNumberFormat="1" applyFont="1" applyFill="1" applyBorder="1" applyAlignment="1" applyProtection="1">
      <alignment horizontal="center"/>
    </xf>
    <xf numFmtId="171" fontId="13" fillId="0" borderId="49" xfId="2" applyNumberFormat="1" applyFont="1" applyFill="1" applyBorder="1" applyAlignment="1" applyProtection="1"/>
    <xf numFmtId="0" fontId="20" fillId="0" borderId="7" xfId="3" applyFont="1" applyBorder="1" applyAlignment="1" applyProtection="1">
      <alignment horizontal="center"/>
    </xf>
    <xf numFmtId="0" fontId="13" fillId="0" borderId="72" xfId="6" applyFont="1" applyBorder="1" applyAlignment="1" applyProtection="1">
      <alignment horizontal="left"/>
    </xf>
    <xf numFmtId="175" fontId="20" fillId="2" borderId="2" xfId="3" applyNumberFormat="1" applyFont="1" applyFill="1" applyBorder="1" applyAlignment="1" applyProtection="1">
      <alignment horizontal="center"/>
    </xf>
    <xf numFmtId="191" fontId="13" fillId="0" borderId="0" xfId="6" applyNumberFormat="1" applyFont="1" applyFill="1" applyBorder="1" applyAlignment="1" applyProtection="1">
      <alignment horizontal="center"/>
    </xf>
    <xf numFmtId="171" fontId="13" fillId="0" borderId="7" xfId="2" applyNumberFormat="1" applyFont="1" applyFill="1" applyBorder="1" applyAlignment="1" applyProtection="1"/>
    <xf numFmtId="171" fontId="20" fillId="0" borderId="2" xfId="2" applyNumberFormat="1" applyFont="1" applyFill="1" applyBorder="1" applyAlignment="1" applyProtection="1"/>
    <xf numFmtId="0" fontId="20" fillId="3" borderId="6" xfId="3" applyFont="1" applyFill="1" applyBorder="1" applyAlignment="1" applyProtection="1">
      <alignment horizontal="left" indent="3"/>
    </xf>
    <xf numFmtId="0" fontId="13" fillId="3" borderId="8" xfId="6" applyFont="1" applyFill="1" applyBorder="1" applyAlignment="1" applyProtection="1">
      <alignment horizontal="left"/>
    </xf>
    <xf numFmtId="171" fontId="20" fillId="3" borderId="8" xfId="2" applyNumberFormat="1" applyFont="1" applyFill="1" applyBorder="1" applyAlignment="1" applyProtection="1">
      <alignment horizontal="center"/>
    </xf>
    <xf numFmtId="191" fontId="13" fillId="3" borderId="8" xfId="6" applyNumberFormat="1" applyFont="1" applyFill="1" applyBorder="1" applyAlignment="1" applyProtection="1">
      <alignment horizontal="center"/>
    </xf>
    <xf numFmtId="0" fontId="13" fillId="3" borderId="0" xfId="3" applyFont="1" applyFill="1" applyBorder="1" applyAlignment="1" applyProtection="1"/>
    <xf numFmtId="44" fontId="22" fillId="3" borderId="8" xfId="2" applyFont="1" applyFill="1" applyBorder="1" applyAlignment="1" applyProtection="1"/>
    <xf numFmtId="44" fontId="21" fillId="3" borderId="48" xfId="2" applyFont="1" applyFill="1" applyBorder="1" applyAlignment="1" applyProtection="1"/>
    <xf numFmtId="0" fontId="20" fillId="0" borderId="1" xfId="3" applyFont="1" applyFill="1" applyBorder="1" applyAlignment="1" applyProtection="1">
      <alignment horizontal="right"/>
    </xf>
    <xf numFmtId="191" fontId="20" fillId="0" borderId="7" xfId="6" applyNumberFormat="1" applyFont="1" applyFill="1" applyBorder="1" applyAlignment="1" applyProtection="1">
      <alignment horizontal="center"/>
    </xf>
    <xf numFmtId="191" fontId="13" fillId="0" borderId="0" xfId="6" quotePrefix="1" applyNumberFormat="1" applyFont="1" applyFill="1" applyBorder="1" applyAlignment="1" applyProtection="1">
      <alignment horizontal="left"/>
    </xf>
    <xf numFmtId="191" fontId="20" fillId="0" borderId="2" xfId="6" applyNumberFormat="1" applyFont="1" applyFill="1" applyBorder="1" applyAlignment="1" applyProtection="1">
      <alignment horizontal="center"/>
    </xf>
    <xf numFmtId="191" fontId="13" fillId="0" borderId="0" xfId="6" applyNumberFormat="1" applyFont="1" applyFill="1" applyBorder="1" applyAlignment="1" applyProtection="1">
      <alignment horizontal="left"/>
    </xf>
    <xf numFmtId="191" fontId="20" fillId="2" borderId="2" xfId="6" applyNumberFormat="1" applyFont="1" applyFill="1" applyBorder="1" applyAlignment="1" applyProtection="1">
      <alignment horizontal="center"/>
    </xf>
    <xf numFmtId="0" fontId="13" fillId="0" borderId="0" xfId="6" applyFont="1" applyAlignment="1" applyProtection="1"/>
    <xf numFmtId="192" fontId="13" fillId="0" borderId="0" xfId="6" applyNumberFormat="1" applyFont="1" applyBorder="1" applyAlignment="1" applyProtection="1">
      <alignment horizontal="left"/>
    </xf>
    <xf numFmtId="192" fontId="13" fillId="0" borderId="0" xfId="6" quotePrefix="1" applyNumberFormat="1" applyFont="1" applyBorder="1" applyAlignment="1" applyProtection="1">
      <alignment horizontal="left"/>
    </xf>
    <xf numFmtId="193" fontId="20" fillId="0" borderId="2" xfId="6" applyNumberFormat="1" applyFont="1" applyFill="1" applyBorder="1" applyAlignment="1" applyProtection="1">
      <alignment horizontal="center"/>
    </xf>
    <xf numFmtId="191" fontId="2" fillId="0" borderId="2" xfId="6" applyNumberFormat="1" applyFont="1" applyFill="1" applyBorder="1" applyAlignment="1" applyProtection="1">
      <alignment horizontal="center"/>
    </xf>
    <xf numFmtId="194" fontId="17" fillId="2" borderId="8" xfId="6" applyNumberFormat="1" applyFont="1" applyFill="1" applyBorder="1" applyAlignment="1" applyProtection="1">
      <alignment horizontal="center"/>
    </xf>
    <xf numFmtId="0" fontId="13" fillId="0" borderId="6" xfId="6" applyFont="1" applyBorder="1" applyAlignment="1" applyProtection="1">
      <alignment horizontal="left"/>
    </xf>
    <xf numFmtId="192" fontId="2" fillId="0" borderId="0" xfId="6" applyNumberFormat="1" applyFont="1" applyBorder="1" applyAlignment="1" applyProtection="1">
      <alignment horizontal="center"/>
    </xf>
    <xf numFmtId="0" fontId="13" fillId="0" borderId="48" xfId="6" applyFont="1" applyBorder="1" applyAlignment="1" applyProtection="1">
      <alignment horizontal="left"/>
    </xf>
    <xf numFmtId="0" fontId="16" fillId="0" borderId="0" xfId="3" applyFont="1" applyBorder="1" applyAlignment="1" applyProtection="1"/>
    <xf numFmtId="171" fontId="11" fillId="2" borderId="2" xfId="3" applyNumberFormat="1" applyFont="1" applyFill="1" applyBorder="1" applyAlignment="1" applyProtection="1"/>
    <xf numFmtId="0" fontId="5" fillId="3" borderId="2" xfId="3" applyFont="1" applyFill="1" applyBorder="1" applyAlignment="1" applyProtection="1">
      <alignment horizontal="centerContinuous" wrapText="1"/>
    </xf>
    <xf numFmtId="0" fontId="21" fillId="3" borderId="2" xfId="3" applyFont="1" applyFill="1" applyBorder="1" applyAlignment="1" applyProtection="1">
      <alignment horizontal="center" wrapText="1"/>
    </xf>
    <xf numFmtId="0" fontId="13" fillId="0" borderId="2" xfId="6" applyFont="1" applyBorder="1" applyAlignment="1" applyProtection="1">
      <alignment horizontal="left"/>
    </xf>
    <xf numFmtId="0" fontId="20" fillId="2" borderId="2" xfId="3" applyFont="1" applyFill="1" applyBorder="1" applyAlignment="1" applyProtection="1">
      <alignment horizontal="center"/>
    </xf>
    <xf numFmtId="164" fontId="20" fillId="0" borderId="2" xfId="3" applyNumberFormat="1" applyFont="1" applyFill="1" applyBorder="1" applyAlignment="1" applyProtection="1">
      <alignment horizontal="center"/>
    </xf>
    <xf numFmtId="191" fontId="13" fillId="2" borderId="2" xfId="6" applyNumberFormat="1" applyFont="1" applyFill="1" applyBorder="1" applyAlignment="1" applyProtection="1">
      <alignment horizontal="center"/>
    </xf>
    <xf numFmtId="0" fontId="13" fillId="0" borderId="0" xfId="6" applyFont="1" applyBorder="1" applyAlignment="1" applyProtection="1"/>
    <xf numFmtId="0" fontId="13" fillId="0" borderId="2" xfId="6" applyFont="1" applyBorder="1" applyAlignment="1" applyProtection="1">
      <alignment horizontal="left" wrapText="1"/>
    </xf>
    <xf numFmtId="0" fontId="20" fillId="0" borderId="2" xfId="6" applyFont="1" applyBorder="1" applyAlignment="1" applyProtection="1">
      <alignment horizontal="center"/>
    </xf>
    <xf numFmtId="171" fontId="7" fillId="2" borderId="2" xfId="2" applyNumberFormat="1" applyFont="1" applyFill="1" applyBorder="1" applyAlignment="1" applyProtection="1"/>
    <xf numFmtId="0" fontId="2" fillId="0" borderId="0" xfId="6" applyFont="1" applyBorder="1" applyAlignment="1" applyProtection="1"/>
    <xf numFmtId="171" fontId="10" fillId="0" borderId="2" xfId="2" applyNumberFormat="1" applyFont="1" applyFill="1" applyBorder="1" applyAlignment="1" applyProtection="1"/>
    <xf numFmtId="171" fontId="11" fillId="0" borderId="2" xfId="2" applyNumberFormat="1" applyFont="1" applyFill="1" applyBorder="1" applyAlignment="1" applyProtection="1"/>
    <xf numFmtId="0" fontId="2" fillId="0" borderId="0" xfId="6" applyAlignment="1" applyProtection="1"/>
    <xf numFmtId="0" fontId="4" fillId="0" borderId="0" xfId="6" applyFont="1" applyAlignment="1" applyProtection="1"/>
    <xf numFmtId="0" fontId="4" fillId="0" borderId="0" xfId="3" applyFont="1" applyAlignment="1" applyProtection="1">
      <alignment horizontal="left"/>
    </xf>
    <xf numFmtId="0" fontId="4" fillId="0" borderId="9" xfId="3" applyFont="1" applyBorder="1" applyAlignment="1" applyProtection="1"/>
    <xf numFmtId="0" fontId="5" fillId="3" borderId="48" xfId="3" applyFont="1" applyFill="1" applyBorder="1" applyAlignment="1" applyProtection="1">
      <alignment horizontal="centerContinuous" wrapText="1"/>
    </xf>
    <xf numFmtId="195" fontId="17" fillId="2" borderId="2" xfId="3" applyNumberFormat="1" applyFont="1" applyFill="1" applyBorder="1" applyAlignment="1" applyProtection="1">
      <alignment horizontal="center"/>
    </xf>
    <xf numFmtId="0" fontId="17" fillId="3" borderId="2" xfId="3" applyFont="1" applyFill="1" applyBorder="1" applyAlignment="1" applyProtection="1">
      <alignment horizontal="center" wrapText="1"/>
    </xf>
    <xf numFmtId="0" fontId="13" fillId="0" borderId="2" xfId="3" applyFont="1" applyBorder="1" applyAlignment="1" applyProtection="1">
      <alignment horizontal="left"/>
    </xf>
    <xf numFmtId="171" fontId="13" fillId="0" borderId="2" xfId="2" applyNumberFormat="1" applyFont="1" applyFill="1" applyBorder="1" applyAlignment="1" applyProtection="1">
      <alignment horizontal="right"/>
    </xf>
    <xf numFmtId="171" fontId="22" fillId="0" borderId="2" xfId="2" applyNumberFormat="1" applyFont="1" applyFill="1" applyBorder="1" applyAlignment="1" applyProtection="1">
      <alignment horizontal="right"/>
    </xf>
    <xf numFmtId="0" fontId="4" fillId="0" borderId="1" xfId="3" applyFont="1" applyFill="1" applyBorder="1" applyAlignment="1" applyProtection="1"/>
    <xf numFmtId="171" fontId="11" fillId="0" borderId="8" xfId="3" applyNumberFormat="1" applyFont="1" applyFill="1" applyBorder="1" applyAlignment="1" applyProtection="1"/>
    <xf numFmtId="0" fontId="20" fillId="3" borderId="2" xfId="3" applyFont="1" applyFill="1" applyBorder="1" applyAlignment="1" applyProtection="1">
      <alignment horizontal="centerContinuous" wrapText="1"/>
    </xf>
    <xf numFmtId="0" fontId="20" fillId="0" borderId="0" xfId="3" applyFont="1" applyBorder="1" applyAlignment="1" applyProtection="1">
      <alignment horizontal="center" wrapText="1"/>
    </xf>
    <xf numFmtId="9" fontId="8" fillId="0" borderId="2" xfId="4" applyFont="1" applyFill="1" applyBorder="1" applyAlignment="1" applyProtection="1">
      <alignment horizontal="center"/>
    </xf>
    <xf numFmtId="196" fontId="20" fillId="2" borderId="2" xfId="3" applyNumberFormat="1" applyFont="1" applyFill="1" applyBorder="1" applyAlignment="1" applyProtection="1">
      <alignment horizontal="centerContinuous"/>
    </xf>
    <xf numFmtId="0" fontId="13" fillId="0" borderId="2" xfId="3" applyFont="1" applyBorder="1" applyAlignment="1" applyProtection="1">
      <alignment horizontal="centerContinuous"/>
    </xf>
    <xf numFmtId="9" fontId="8" fillId="8" borderId="2" xfId="4" applyFont="1" applyFill="1" applyBorder="1" applyAlignment="1" applyProtection="1">
      <alignment horizontal="center"/>
    </xf>
    <xf numFmtId="9" fontId="8" fillId="8" borderId="0" xfId="4" applyFont="1" applyFill="1" applyBorder="1" applyAlignment="1" applyProtection="1">
      <alignment horizontal="center"/>
    </xf>
    <xf numFmtId="197" fontId="20" fillId="2" borderId="2" xfId="3" applyNumberFormat="1" applyFont="1" applyFill="1" applyBorder="1" applyAlignment="1" applyProtection="1">
      <alignment horizontal="centerContinuous"/>
    </xf>
    <xf numFmtId="175" fontId="13" fillId="2" borderId="2" xfId="3" applyNumberFormat="1" applyFont="1" applyFill="1" applyBorder="1" applyAlignment="1" applyProtection="1">
      <alignment horizontal="centerContinuous"/>
    </xf>
    <xf numFmtId="171" fontId="20" fillId="2" borderId="8" xfId="2" applyNumberFormat="1" applyFont="1" applyFill="1" applyBorder="1" applyAlignment="1" applyProtection="1">
      <alignment horizontal="center"/>
    </xf>
    <xf numFmtId="0" fontId="2" fillId="0" borderId="8" xfId="3" applyFont="1" applyFill="1" applyBorder="1" applyAlignment="1" applyProtection="1">
      <alignment horizontal="left" indent="2"/>
    </xf>
    <xf numFmtId="198" fontId="17" fillId="0" borderId="8" xfId="3" applyNumberFormat="1" applyFont="1" applyFill="1" applyBorder="1" applyAlignment="1" applyProtection="1">
      <alignment horizontal="center"/>
    </xf>
    <xf numFmtId="199" fontId="17" fillId="0" borderId="8" xfId="3" applyNumberFormat="1" applyFont="1" applyFill="1" applyBorder="1" applyAlignment="1" applyProtection="1">
      <alignment horizontal="center"/>
    </xf>
    <xf numFmtId="175" fontId="20" fillId="0" borderId="8" xfId="3" applyNumberFormat="1" applyFont="1" applyFill="1" applyBorder="1" applyAlignment="1" applyProtection="1">
      <alignment horizontal="center"/>
    </xf>
    <xf numFmtId="171" fontId="20" fillId="2" borderId="106" xfId="3" applyNumberFormat="1" applyFont="1" applyFill="1" applyBorder="1" applyAlignment="1" applyProtection="1"/>
    <xf numFmtId="171" fontId="13" fillId="0" borderId="83" xfId="3" applyNumberFormat="1" applyFont="1" applyFill="1" applyBorder="1" applyAlignment="1" applyProtection="1"/>
    <xf numFmtId="171" fontId="13" fillId="0" borderId="12" xfId="3" applyNumberFormat="1" applyFont="1" applyFill="1" applyBorder="1" applyAlignment="1" applyProtection="1"/>
    <xf numFmtId="0" fontId="13" fillId="0" borderId="72" xfId="3" applyFont="1" applyBorder="1" applyAlignment="1" applyProtection="1">
      <alignment horizontal="left"/>
    </xf>
    <xf numFmtId="200" fontId="2" fillId="2" borderId="2" xfId="3" applyNumberFormat="1" applyFont="1" applyFill="1" applyBorder="1" applyAlignment="1" applyProtection="1">
      <alignment horizontal="center"/>
    </xf>
    <xf numFmtId="201" fontId="13" fillId="0" borderId="43" xfId="3" applyNumberFormat="1" applyFont="1" applyBorder="1" applyAlignment="1" applyProtection="1">
      <alignment horizontal="center"/>
    </xf>
    <xf numFmtId="171" fontId="22" fillId="0" borderId="7" xfId="2" applyNumberFormat="1" applyFont="1" applyFill="1" applyBorder="1" applyAlignment="1" applyProtection="1"/>
    <xf numFmtId="202" fontId="13" fillId="2" borderId="2" xfId="3" applyNumberFormat="1" applyFont="1" applyFill="1" applyBorder="1" applyAlignment="1" applyProtection="1">
      <alignment horizontal="center"/>
    </xf>
    <xf numFmtId="171" fontId="20" fillId="2" borderId="48" xfId="2" applyNumberFormat="1" applyFont="1" applyFill="1" applyBorder="1" applyAlignment="1" applyProtection="1">
      <alignment horizontal="center"/>
    </xf>
    <xf numFmtId="0" fontId="2" fillId="0" borderId="0" xfId="3" applyFont="1" applyFill="1" applyBorder="1" applyAlignment="1" applyProtection="1">
      <alignment horizontal="center" textRotation="90"/>
    </xf>
    <xf numFmtId="171" fontId="7" fillId="0" borderId="0" xfId="2" applyNumberFormat="1" applyFont="1" applyFill="1" applyBorder="1" applyAlignment="1" applyProtection="1"/>
    <xf numFmtId="0" fontId="8" fillId="0" borderId="0" xfId="3" applyFont="1" applyBorder="1" applyAlignment="1" applyProtection="1">
      <alignment horizontal="center"/>
    </xf>
    <xf numFmtId="0" fontId="4" fillId="0" borderId="0" xfId="3" applyFont="1" applyFill="1" applyBorder="1" applyAlignment="1" applyProtection="1"/>
    <xf numFmtId="0" fontId="8" fillId="0" borderId="0" xfId="3" applyFont="1" applyFill="1" applyBorder="1" applyAlignment="1" applyProtection="1">
      <alignment horizontal="center"/>
    </xf>
    <xf numFmtId="0" fontId="2" fillId="0" borderId="49" xfId="3" applyFont="1" applyFill="1" applyBorder="1" applyAlignment="1" applyProtection="1">
      <alignment horizontal="center" textRotation="90"/>
    </xf>
    <xf numFmtId="0" fontId="20" fillId="3" borderId="48" xfId="3" applyFont="1" applyFill="1" applyBorder="1" applyAlignment="1" applyProtection="1">
      <alignment horizontal="center" wrapText="1"/>
    </xf>
    <xf numFmtId="44" fontId="7" fillId="0" borderId="48" xfId="2" applyFont="1" applyFill="1" applyBorder="1" applyAlignment="1" applyProtection="1">
      <alignment horizontal="right"/>
    </xf>
    <xf numFmtId="44" fontId="11" fillId="0" borderId="2" xfId="2" applyFont="1" applyFill="1" applyBorder="1" applyAlignment="1" applyProtection="1"/>
    <xf numFmtId="0" fontId="20" fillId="0" borderId="0" xfId="3" applyFont="1" applyBorder="1" applyAlignment="1" applyProtection="1">
      <alignment horizontal="center"/>
    </xf>
    <xf numFmtId="0" fontId="4" fillId="0" borderId="1" xfId="3" applyFont="1" applyBorder="1" applyAlignment="1" applyProtection="1">
      <alignment horizontal="left"/>
    </xf>
    <xf numFmtId="0" fontId="4" fillId="0" borderId="1" xfId="3" applyFont="1" applyFill="1" applyBorder="1" applyAlignment="1" applyProtection="1">
      <alignment horizontal="center"/>
    </xf>
    <xf numFmtId="0" fontId="4" fillId="0" borderId="1" xfId="3" applyFont="1" applyFill="1" applyBorder="1" applyAlignment="1" applyProtection="1">
      <alignment horizontal="right"/>
    </xf>
    <xf numFmtId="0" fontId="2" fillId="0" borderId="0" xfId="3" applyBorder="1" applyAlignment="1" applyProtection="1"/>
    <xf numFmtId="0" fontId="13" fillId="0" borderId="43" xfId="3" applyFont="1" applyFill="1" applyBorder="1" applyAlignment="1" applyProtection="1"/>
    <xf numFmtId="0" fontId="20" fillId="3" borderId="2" xfId="3" applyFont="1" applyFill="1" applyBorder="1" applyAlignment="1" applyProtection="1">
      <alignment horizontal="centerContinuous"/>
    </xf>
    <xf numFmtId="0" fontId="13" fillId="0" borderId="2" xfId="3" applyFont="1" applyFill="1" applyBorder="1" applyAlignment="1" applyProtection="1">
      <alignment horizontal="left"/>
    </xf>
    <xf numFmtId="165" fontId="20" fillId="2" borderId="2" xfId="3" applyNumberFormat="1" applyFont="1" applyFill="1" applyBorder="1" applyAlignment="1" applyProtection="1">
      <alignment horizontal="center"/>
    </xf>
    <xf numFmtId="0" fontId="4" fillId="0" borderId="0" xfId="3" applyFont="1" applyBorder="1" applyAlignment="1" applyProtection="1">
      <alignment horizontal="center"/>
    </xf>
    <xf numFmtId="165" fontId="4" fillId="0" borderId="0" xfId="3" applyNumberFormat="1" applyFont="1" applyBorder="1" applyAlignment="1" applyProtection="1">
      <alignment horizontal="center"/>
    </xf>
    <xf numFmtId="0" fontId="13" fillId="0" borderId="0" xfId="3" applyFont="1" applyFill="1" applyAlignment="1" applyProtection="1"/>
    <xf numFmtId="0" fontId="20" fillId="0" borderId="0" xfId="3" applyFont="1" applyFill="1" applyAlignment="1" applyProtection="1">
      <alignment horizontal="center" wrapText="1"/>
    </xf>
    <xf numFmtId="175" fontId="20" fillId="0" borderId="2" xfId="3" applyNumberFormat="1" applyFont="1" applyFill="1" applyBorder="1" applyAlignment="1" applyProtection="1">
      <alignment horizontal="right"/>
    </xf>
    <xf numFmtId="0" fontId="20" fillId="0" borderId="0" xfId="3" applyFont="1" applyFill="1" applyBorder="1" applyAlignment="1" applyProtection="1"/>
    <xf numFmtId="0" fontId="4" fillId="0" borderId="12" xfId="3" applyFont="1" applyFill="1" applyBorder="1" applyAlignment="1" applyProtection="1"/>
    <xf numFmtId="1" fontId="7" fillId="0" borderId="0" xfId="3" applyNumberFormat="1" applyFont="1" applyFill="1" applyBorder="1" applyAlignment="1" applyProtection="1">
      <alignment horizontal="center"/>
    </xf>
    <xf numFmtId="0" fontId="7" fillId="0" borderId="0" xfId="3" applyFont="1" applyFill="1" applyBorder="1" applyAlignment="1" applyProtection="1"/>
    <xf numFmtId="175" fontId="13" fillId="0" borderId="0" xfId="3" applyNumberFormat="1" applyFont="1" applyFill="1" applyAlignment="1" applyProtection="1"/>
    <xf numFmtId="44" fontId="13" fillId="0" borderId="0" xfId="2" applyFont="1" applyAlignment="1" applyProtection="1"/>
    <xf numFmtId="0" fontId="24" fillId="0" borderId="0" xfId="3" applyFont="1" applyFill="1" applyBorder="1" applyAlignment="1" applyProtection="1">
      <alignment horizontal="center" textRotation="90"/>
    </xf>
    <xf numFmtId="0" fontId="37" fillId="0" borderId="4" xfId="3" applyFont="1" applyBorder="1" applyAlignment="1" applyProtection="1">
      <alignment horizontal="right"/>
    </xf>
    <xf numFmtId="165" fontId="7" fillId="2" borderId="4" xfId="3" applyNumberFormat="1" applyFont="1" applyFill="1" applyBorder="1" applyAlignment="1" applyProtection="1">
      <alignment horizontal="center"/>
    </xf>
    <xf numFmtId="0" fontId="17" fillId="0" borderId="5" xfId="3" applyFont="1" applyBorder="1" applyAlignment="1" applyProtection="1">
      <alignment horizontal="left"/>
    </xf>
    <xf numFmtId="0" fontId="13" fillId="0" borderId="58" xfId="3" applyFont="1" applyBorder="1" applyAlignment="1" applyProtection="1"/>
    <xf numFmtId="0" fontId="2" fillId="0" borderId="32" xfId="3" applyFont="1" applyFill="1" applyBorder="1" applyAlignment="1" applyProtection="1">
      <alignment horizontal="right"/>
    </xf>
    <xf numFmtId="0" fontId="7" fillId="2" borderId="59" xfId="3" applyFont="1" applyFill="1" applyBorder="1" applyAlignment="1" applyProtection="1">
      <alignment horizontal="center"/>
    </xf>
    <xf numFmtId="0" fontId="12" fillId="0" borderId="32" xfId="3" applyFont="1" applyFill="1" applyBorder="1" applyAlignment="1" applyProtection="1">
      <alignment horizontal="right"/>
    </xf>
    <xf numFmtId="0" fontId="7" fillId="2" borderId="60" xfId="3" applyFont="1" applyFill="1" applyBorder="1" applyAlignment="1" applyProtection="1">
      <alignment horizontal="center"/>
    </xf>
    <xf numFmtId="0" fontId="14" fillId="0" borderId="0" xfId="3" applyFont="1" applyAlignment="1" applyProtection="1">
      <alignment horizontal="center" wrapText="1"/>
    </xf>
    <xf numFmtId="0" fontId="14" fillId="0" borderId="0" xfId="3" applyFont="1" applyAlignment="1" applyProtection="1">
      <alignment horizontal="center"/>
    </xf>
    <xf numFmtId="0" fontId="13" fillId="0" borderId="56" xfId="3" applyFont="1" applyBorder="1" applyAlignment="1" applyProtection="1"/>
    <xf numFmtId="0" fontId="12" fillId="0" borderId="0" xfId="3" applyFont="1" applyFill="1" applyBorder="1" applyAlignment="1" applyProtection="1">
      <alignment horizontal="right"/>
    </xf>
    <xf numFmtId="1" fontId="11" fillId="2" borderId="8" xfId="3" applyNumberFormat="1" applyFont="1" applyFill="1" applyBorder="1" applyAlignment="1" applyProtection="1">
      <alignment horizontal="center"/>
    </xf>
    <xf numFmtId="0" fontId="7" fillId="2" borderId="61" xfId="3" applyFont="1" applyFill="1" applyBorder="1" applyAlignment="1" applyProtection="1">
      <alignment horizontal="center"/>
    </xf>
    <xf numFmtId="0" fontId="7" fillId="2" borderId="41" xfId="3" applyFont="1" applyFill="1" applyBorder="1" applyAlignment="1" applyProtection="1">
      <alignment horizontal="center"/>
    </xf>
    <xf numFmtId="0" fontId="2" fillId="0" borderId="0" xfId="3" applyFont="1" applyBorder="1" applyAlignment="1" applyProtection="1">
      <alignment horizontal="right"/>
    </xf>
    <xf numFmtId="1" fontId="11" fillId="2" borderId="1" xfId="3" applyNumberFormat="1" applyFont="1" applyFill="1" applyBorder="1" applyAlignment="1" applyProtection="1">
      <alignment horizontal="center"/>
    </xf>
    <xf numFmtId="0" fontId="4" fillId="0" borderId="0" xfId="3" applyFont="1" applyBorder="1" applyAlignment="1" applyProtection="1">
      <alignment horizontal="centerContinuous"/>
    </xf>
    <xf numFmtId="0" fontId="4" fillId="0" borderId="50" xfId="3" applyFont="1" applyBorder="1" applyAlignment="1" applyProtection="1">
      <alignment horizontal="centerContinuous"/>
    </xf>
    <xf numFmtId="170" fontId="2" fillId="0" borderId="0" xfId="3" applyNumberFormat="1" applyFont="1" applyBorder="1" applyAlignment="1" applyProtection="1">
      <alignment horizontal="center"/>
    </xf>
    <xf numFmtId="169" fontId="2" fillId="0" borderId="0" xfId="3" applyNumberFormat="1" applyFont="1" applyBorder="1" applyAlignment="1" applyProtection="1">
      <alignment horizontal="center"/>
    </xf>
    <xf numFmtId="0" fontId="2" fillId="0" borderId="56" xfId="3" applyFont="1" applyBorder="1" applyAlignment="1" applyProtection="1">
      <alignment horizontal="right"/>
    </xf>
    <xf numFmtId="0" fontId="4" fillId="0" borderId="44" xfId="3" applyFont="1" applyBorder="1" applyAlignment="1" applyProtection="1">
      <alignment horizontal="center"/>
    </xf>
    <xf numFmtId="0" fontId="13" fillId="0" borderId="0" xfId="3" applyFont="1" applyBorder="1" applyAlignment="1" applyProtection="1">
      <alignment horizontal="right"/>
    </xf>
    <xf numFmtId="1" fontId="7" fillId="0" borderId="44" xfId="3" applyNumberFormat="1" applyFont="1" applyBorder="1" applyAlignment="1" applyProtection="1">
      <alignment horizontal="center"/>
    </xf>
    <xf numFmtId="0" fontId="7" fillId="0" borderId="42" xfId="3" applyFont="1" applyBorder="1" applyAlignment="1" applyProtection="1">
      <alignment horizontal="center"/>
    </xf>
    <xf numFmtId="0" fontId="17" fillId="0" borderId="56" xfId="3" applyFont="1" applyBorder="1" applyAlignment="1" applyProtection="1">
      <alignment horizontal="centerContinuous"/>
    </xf>
    <xf numFmtId="0" fontId="2" fillId="0" borderId="0" xfId="3" applyFont="1" applyFill="1" applyBorder="1" applyAlignment="1" applyProtection="1">
      <alignment horizontal="centerContinuous"/>
    </xf>
    <xf numFmtId="0" fontId="2" fillId="0" borderId="0" xfId="3" applyFont="1" applyBorder="1" applyAlignment="1" applyProtection="1">
      <alignment horizontal="centerContinuous"/>
    </xf>
    <xf numFmtId="0" fontId="12" fillId="0" borderId="50" xfId="3" applyFont="1" applyFill="1" applyBorder="1" applyAlignment="1" applyProtection="1">
      <alignment horizontal="centerContinuous"/>
    </xf>
    <xf numFmtId="1" fontId="7" fillId="0" borderId="46" xfId="3" applyNumberFormat="1" applyFont="1" applyBorder="1" applyAlignment="1" applyProtection="1">
      <alignment horizontal="center"/>
    </xf>
    <xf numFmtId="183" fontId="2" fillId="0" borderId="56" xfId="3" applyNumberFormat="1" applyFont="1" applyBorder="1" applyAlignment="1" applyProtection="1">
      <alignment horizontal="center"/>
    </xf>
    <xf numFmtId="0" fontId="2" fillId="0" borderId="0" xfId="3" applyFont="1" applyBorder="1" applyAlignment="1" applyProtection="1">
      <alignment horizontal="center"/>
    </xf>
    <xf numFmtId="184" fontId="2" fillId="0" borderId="0" xfId="3" applyNumberFormat="1" applyFont="1" applyBorder="1" applyAlignment="1" applyProtection="1">
      <alignment horizontal="center"/>
    </xf>
    <xf numFmtId="0" fontId="2" fillId="0" borderId="0" xfId="3" quotePrefix="1" applyFont="1" applyBorder="1" applyAlignment="1" applyProtection="1">
      <alignment horizontal="center"/>
    </xf>
    <xf numFmtId="0" fontId="12" fillId="0" borderId="50" xfId="3" applyFont="1" applyFill="1" applyBorder="1" applyAlignment="1" applyProtection="1">
      <alignment horizontal="left"/>
    </xf>
    <xf numFmtId="0" fontId="9" fillId="0" borderId="0" xfId="3" applyFont="1" applyAlignment="1" applyProtection="1">
      <alignment wrapText="1"/>
    </xf>
    <xf numFmtId="0" fontId="23" fillId="0" borderId="0" xfId="3" applyFont="1" applyAlignment="1" applyProtection="1">
      <alignment horizontal="center" wrapText="1"/>
    </xf>
    <xf numFmtId="0" fontId="9" fillId="0" borderId="0" xfId="3" applyFont="1" applyAlignment="1" applyProtection="1"/>
    <xf numFmtId="0" fontId="23" fillId="0" borderId="0" xfId="3" applyFont="1" applyAlignment="1" applyProtection="1">
      <alignment horizontal="center"/>
    </xf>
    <xf numFmtId="1" fontId="7" fillId="0" borderId="57" xfId="3" applyNumberFormat="1" applyFont="1" applyBorder="1" applyAlignment="1" applyProtection="1">
      <alignment horizontal="center"/>
    </xf>
    <xf numFmtId="165" fontId="20" fillId="0" borderId="2" xfId="3" applyNumberFormat="1" applyFont="1" applyFill="1" applyBorder="1" applyAlignment="1" applyProtection="1">
      <alignment horizontal="center"/>
    </xf>
    <xf numFmtId="0" fontId="2" fillId="0" borderId="0" xfId="3" applyFont="1" applyBorder="1" applyAlignment="1" applyProtection="1"/>
    <xf numFmtId="165" fontId="15" fillId="0" borderId="50" xfId="3" applyNumberFormat="1" applyFont="1" applyFill="1" applyBorder="1" applyAlignment="1" applyProtection="1">
      <alignment horizontal="center"/>
    </xf>
    <xf numFmtId="0" fontId="20" fillId="0" borderId="0" xfId="3" applyFont="1" applyBorder="1" applyAlignment="1" applyProtection="1">
      <alignment horizontal="right"/>
    </xf>
    <xf numFmtId="182" fontId="7" fillId="0" borderId="44" xfId="1" applyNumberFormat="1" applyFont="1" applyBorder="1" applyAlignment="1" applyProtection="1">
      <alignment horizontal="centerContinuous"/>
    </xf>
    <xf numFmtId="165" fontId="7" fillId="2" borderId="41" xfId="3" applyNumberFormat="1" applyFont="1" applyFill="1" applyBorder="1" applyAlignment="1" applyProtection="1">
      <alignment horizontal="center"/>
    </xf>
    <xf numFmtId="0" fontId="21" fillId="0" borderId="0" xfId="3" applyFont="1" applyFill="1" applyBorder="1" applyAlignment="1" applyProtection="1">
      <alignment horizontal="right"/>
    </xf>
    <xf numFmtId="165" fontId="11" fillId="0" borderId="44" xfId="3" applyNumberFormat="1" applyFont="1" applyFill="1" applyBorder="1" applyAlignment="1" applyProtection="1">
      <alignment horizontal="center"/>
    </xf>
    <xf numFmtId="0" fontId="11" fillId="0" borderId="50" xfId="3" applyFont="1" applyFill="1" applyBorder="1" applyAlignment="1" applyProtection="1"/>
    <xf numFmtId="0" fontId="4" fillId="0" borderId="28" xfId="3" applyFont="1" applyBorder="1" applyAlignment="1" applyProtection="1">
      <alignment horizontal="left"/>
    </xf>
    <xf numFmtId="165" fontId="7" fillId="0" borderId="7" xfId="3" applyNumberFormat="1" applyFont="1" applyFill="1" applyBorder="1" applyAlignment="1" applyProtection="1">
      <alignment horizontal="center"/>
    </xf>
    <xf numFmtId="165" fontId="7" fillId="2" borderId="29" xfId="3" applyNumberFormat="1" applyFont="1" applyFill="1" applyBorder="1" applyAlignment="1" applyProtection="1">
      <alignment horizontal="center"/>
    </xf>
    <xf numFmtId="164" fontId="7" fillId="0" borderId="44" xfId="3" applyNumberFormat="1" applyFont="1" applyBorder="1" applyAlignment="1" applyProtection="1">
      <alignment horizontal="center"/>
    </xf>
    <xf numFmtId="165" fontId="7" fillId="0" borderId="42" xfId="3" applyNumberFormat="1" applyFont="1" applyBorder="1" applyAlignment="1" applyProtection="1">
      <alignment horizontal="center"/>
    </xf>
    <xf numFmtId="0" fontId="2" fillId="0" borderId="92" xfId="3" applyFont="1" applyBorder="1" applyAlignment="1" applyProtection="1">
      <alignment horizontal="right"/>
    </xf>
    <xf numFmtId="165" fontId="21" fillId="0" borderId="10" xfId="3" applyNumberFormat="1" applyFont="1" applyFill="1" applyBorder="1" applyAlignment="1" applyProtection="1">
      <alignment horizontal="center"/>
    </xf>
    <xf numFmtId="0" fontId="2" fillId="0" borderId="53" xfId="3" applyFont="1" applyBorder="1" applyAlignment="1" applyProtection="1"/>
    <xf numFmtId="0" fontId="13" fillId="0" borderId="53" xfId="3" applyFont="1" applyBorder="1" applyAlignment="1" applyProtection="1">
      <alignment horizontal="right"/>
    </xf>
    <xf numFmtId="1" fontId="7" fillId="0" borderId="55" xfId="3" applyNumberFormat="1" applyFont="1" applyBorder="1" applyAlignment="1" applyProtection="1">
      <alignment horizontal="center"/>
    </xf>
    <xf numFmtId="0" fontId="2" fillId="0" borderId="1" xfId="3" applyFont="1" applyBorder="1" applyAlignment="1" applyProtection="1">
      <alignment horizontal="right"/>
    </xf>
    <xf numFmtId="165" fontId="15" fillId="0" borderId="1" xfId="3" applyNumberFormat="1" applyFont="1" applyFill="1" applyBorder="1" applyAlignment="1" applyProtection="1">
      <alignment horizontal="center"/>
    </xf>
    <xf numFmtId="0" fontId="2" fillId="0" borderId="1" xfId="3" applyFont="1" applyBorder="1" applyAlignment="1" applyProtection="1"/>
    <xf numFmtId="1" fontId="17" fillId="0" borderId="50" xfId="3" applyNumberFormat="1" applyFont="1" applyBorder="1" applyAlignment="1" applyProtection="1">
      <alignment horizontal="center"/>
    </xf>
    <xf numFmtId="0" fontId="13" fillId="0" borderId="51" xfId="3" applyFont="1" applyFill="1" applyBorder="1" applyAlignment="1" applyProtection="1"/>
    <xf numFmtId="0" fontId="20" fillId="3" borderId="8" xfId="3" applyFont="1" applyFill="1" applyBorder="1" applyAlignment="1" applyProtection="1">
      <alignment horizontal="right"/>
    </xf>
    <xf numFmtId="1" fontId="20" fillId="3" borderId="48" xfId="3" applyNumberFormat="1" applyFont="1" applyFill="1" applyBorder="1" applyAlignment="1" applyProtection="1">
      <alignment horizontal="center"/>
    </xf>
    <xf numFmtId="178" fontId="13" fillId="0" borderId="48" xfId="3" applyNumberFormat="1" applyFont="1" applyBorder="1" applyAlignment="1" applyProtection="1">
      <alignment horizontal="center"/>
    </xf>
    <xf numFmtId="165" fontId="13" fillId="0" borderId="2" xfId="3" applyNumberFormat="1" applyFont="1" applyBorder="1" applyAlignment="1" applyProtection="1">
      <alignment horizontal="center"/>
    </xf>
    <xf numFmtId="179" fontId="13" fillId="0" borderId="2" xfId="3" applyNumberFormat="1" applyFont="1" applyBorder="1" applyAlignment="1" applyProtection="1">
      <alignment horizontal="center"/>
    </xf>
    <xf numFmtId="178" fontId="13" fillId="0" borderId="2" xfId="3" applyNumberFormat="1" applyFont="1" applyBorder="1" applyAlignment="1" applyProtection="1">
      <alignment horizontal="center"/>
    </xf>
    <xf numFmtId="0" fontId="20" fillId="3" borderId="54" xfId="3" applyFont="1" applyFill="1" applyBorder="1" applyAlignment="1" applyProtection="1">
      <alignment horizontal="right"/>
    </xf>
    <xf numFmtId="1" fontId="20" fillId="3" borderId="52" xfId="3" applyNumberFormat="1" applyFont="1" applyFill="1" applyBorder="1" applyAlignment="1" applyProtection="1">
      <alignment horizontal="center"/>
    </xf>
    <xf numFmtId="0" fontId="13" fillId="0" borderId="53" xfId="3" applyFont="1" applyFill="1" applyBorder="1" applyAlignment="1" applyProtection="1"/>
    <xf numFmtId="0" fontId="13" fillId="0" borderId="54" xfId="3" applyFont="1" applyFill="1" applyBorder="1" applyAlignment="1" applyProtection="1"/>
    <xf numFmtId="0" fontId="22" fillId="0" borderId="55" xfId="3" applyFont="1" applyFill="1" applyBorder="1" applyAlignment="1" applyProtection="1">
      <alignment horizontal="left"/>
    </xf>
    <xf numFmtId="0" fontId="2" fillId="0" borderId="72" xfId="3" applyFont="1" applyBorder="1" applyAlignment="1" applyProtection="1"/>
    <xf numFmtId="0" fontId="2" fillId="0" borderId="1" xfId="3" applyFont="1" applyBorder="1" applyAlignment="1" applyProtection="1">
      <alignment horizontal="centerContinuous"/>
    </xf>
    <xf numFmtId="0" fontId="2" fillId="0" borderId="0" xfId="3" applyFont="1" applyAlignment="1" applyProtection="1"/>
    <xf numFmtId="165" fontId="13" fillId="0" borderId="48" xfId="3" applyNumberFormat="1" applyFont="1" applyBorder="1" applyAlignment="1" applyProtection="1">
      <alignment horizontal="center"/>
    </xf>
    <xf numFmtId="0" fontId="2" fillId="0" borderId="0" xfId="3" applyFont="1" applyAlignment="1" applyProtection="1">
      <alignment horizontal="center" wrapText="1"/>
    </xf>
    <xf numFmtId="1" fontId="20" fillId="2" borderId="2" xfId="3" applyNumberFormat="1" applyFont="1" applyFill="1" applyBorder="1" applyAlignment="1" applyProtection="1">
      <alignment horizontal="center"/>
    </xf>
    <xf numFmtId="0" fontId="13" fillId="0" borderId="6" xfId="3" applyFont="1" applyBorder="1" applyAlignment="1" applyProtection="1">
      <alignment horizontal="left"/>
    </xf>
    <xf numFmtId="188" fontId="2" fillId="8" borderId="2" xfId="3" applyNumberFormat="1" applyFont="1" applyFill="1" applyBorder="1" applyAlignment="1" applyProtection="1">
      <alignment horizontal="center"/>
    </xf>
    <xf numFmtId="171" fontId="2" fillId="8" borderId="2" xfId="3" applyNumberFormat="1" applyFont="1" applyFill="1" applyBorder="1" applyAlignment="1" applyProtection="1">
      <alignment horizontal="center"/>
    </xf>
    <xf numFmtId="171" fontId="20" fillId="0" borderId="2" xfId="2" applyNumberFormat="1" applyFont="1" applyFill="1" applyBorder="1" applyAlignment="1" applyProtection="1">
      <alignment horizontal="center"/>
      <protection locked="0"/>
    </xf>
    <xf numFmtId="0" fontId="4" fillId="0" borderId="0" xfId="3" applyFont="1" applyFill="1" applyBorder="1" applyAlignment="1" applyProtection="1">
      <alignment horizontal="left"/>
    </xf>
    <xf numFmtId="0" fontId="16" fillId="0" borderId="12" xfId="3" applyFont="1" applyBorder="1" applyAlignment="1" applyProtection="1"/>
    <xf numFmtId="0" fontId="7" fillId="0" borderId="0" xfId="3" applyFont="1" applyFill="1" applyBorder="1" applyAlignment="1" applyProtection="1">
      <alignment horizontal="right"/>
    </xf>
    <xf numFmtId="44" fontId="11" fillId="0" borderId="0" xfId="3" applyNumberFormat="1" applyFont="1" applyFill="1" applyBorder="1" applyAlignment="1" applyProtection="1"/>
    <xf numFmtId="0" fontId="31" fillId="8" borderId="0" xfId="3" applyFont="1" applyFill="1" applyBorder="1" applyAlignment="1" applyProtection="1">
      <alignment horizontal="center" wrapText="1"/>
    </xf>
    <xf numFmtId="165" fontId="17" fillId="8" borderId="2" xfId="3" applyNumberFormat="1" applyFont="1" applyFill="1" applyBorder="1" applyAlignment="1" applyProtection="1">
      <alignment horizontal="center"/>
    </xf>
    <xf numFmtId="0" fontId="13" fillId="0" borderId="48" xfId="3" applyFont="1" applyBorder="1" applyAlignment="1" applyProtection="1">
      <alignment horizontal="left"/>
    </xf>
    <xf numFmtId="0" fontId="6" fillId="0" borderId="0" xfId="3" applyFont="1" applyFill="1" applyAlignment="1" applyProtection="1"/>
    <xf numFmtId="0" fontId="13" fillId="0" borderId="0" xfId="3" applyFont="1" applyFill="1" applyBorder="1" applyAlignment="1" applyProtection="1">
      <alignment horizontal="left"/>
    </xf>
    <xf numFmtId="0" fontId="13" fillId="0" borderId="0" xfId="3" applyFont="1" applyFill="1" applyBorder="1" applyAlignment="1" applyProtection="1">
      <alignment horizontal="center"/>
    </xf>
    <xf numFmtId="0" fontId="7" fillId="0" borderId="6" xfId="3" applyFont="1" applyBorder="1" applyAlignment="1" applyProtection="1">
      <alignment horizontal="center"/>
    </xf>
    <xf numFmtId="171" fontId="22" fillId="0" borderId="2" xfId="3" applyNumberFormat="1" applyFont="1" applyFill="1" applyBorder="1" applyAlignment="1" applyProtection="1"/>
    <xf numFmtId="171" fontId="22" fillId="0" borderId="64" xfId="3" applyNumberFormat="1" applyFont="1" applyFill="1" applyBorder="1" applyAlignment="1" applyProtection="1"/>
    <xf numFmtId="171" fontId="13" fillId="0" borderId="2" xfId="3" applyNumberFormat="1" applyFont="1" applyFill="1" applyBorder="1" applyAlignment="1" applyProtection="1"/>
    <xf numFmtId="171" fontId="4" fillId="0" borderId="0" xfId="3" applyNumberFormat="1" applyFont="1" applyAlignment="1" applyProtection="1"/>
    <xf numFmtId="0" fontId="13" fillId="0" borderId="66" xfId="3" applyFont="1" applyBorder="1" applyAlignment="1" applyProtection="1">
      <alignment horizontal="left"/>
    </xf>
    <xf numFmtId="171" fontId="13" fillId="0" borderId="2" xfId="3" applyNumberFormat="1" applyFont="1" applyBorder="1" applyAlignment="1" applyProtection="1">
      <alignment horizontal="center"/>
    </xf>
    <xf numFmtId="171" fontId="13" fillId="0" borderId="14" xfId="3" applyNumberFormat="1" applyFont="1" applyBorder="1" applyAlignment="1" applyProtection="1"/>
    <xf numFmtId="171" fontId="13" fillId="0" borderId="115" xfId="3" applyNumberFormat="1" applyFont="1" applyBorder="1" applyAlignment="1" applyProtection="1"/>
    <xf numFmtId="9" fontId="20" fillId="0" borderId="0" xfId="3" applyNumberFormat="1" applyFont="1" applyBorder="1" applyAlignment="1" applyProtection="1">
      <alignment horizontal="center"/>
    </xf>
    <xf numFmtId="171" fontId="13" fillId="0" borderId="0" xfId="3" applyNumberFormat="1" applyFont="1" applyBorder="1" applyAlignment="1" applyProtection="1">
      <alignment horizontal="right"/>
    </xf>
    <xf numFmtId="171" fontId="13" fillId="0" borderId="0" xfId="3" applyNumberFormat="1" applyFont="1" applyBorder="1" applyAlignment="1" applyProtection="1"/>
    <xf numFmtId="171" fontId="13" fillId="0" borderId="91" xfId="3" applyNumberFormat="1" applyFont="1" applyBorder="1" applyAlignment="1" applyProtection="1"/>
    <xf numFmtId="0" fontId="4" fillId="0" borderId="66" xfId="3" applyFont="1" applyBorder="1" applyAlignment="1" applyProtection="1">
      <alignment horizontal="left"/>
    </xf>
    <xf numFmtId="10" fontId="13" fillId="0" borderId="14" xfId="4" applyNumberFormat="1" applyFont="1" applyBorder="1" applyAlignment="1" applyProtection="1">
      <alignment horizontal="center"/>
    </xf>
    <xf numFmtId="171" fontId="13" fillId="0" borderId="76" xfId="3" applyNumberFormat="1" applyFont="1" applyBorder="1" applyAlignment="1" applyProtection="1"/>
    <xf numFmtId="171" fontId="5" fillId="9" borderId="38" xfId="3" applyNumberFormat="1" applyFont="1" applyFill="1" applyBorder="1" applyAlignment="1" applyProtection="1">
      <alignment horizontal="center"/>
    </xf>
    <xf numFmtId="4" fontId="6" fillId="0" borderId="0" xfId="3" applyNumberFormat="1" applyFont="1" applyBorder="1" applyAlignment="1" applyProtection="1"/>
    <xf numFmtId="0" fontId="6" fillId="0" borderId="0" xfId="3" applyFont="1" applyBorder="1" applyAlignment="1" applyProtection="1"/>
    <xf numFmtId="0" fontId="21" fillId="3" borderId="38" xfId="3" applyFont="1" applyFill="1" applyBorder="1" applyAlignment="1" applyProtection="1">
      <alignment horizontal="center" wrapText="1"/>
    </xf>
    <xf numFmtId="171" fontId="39" fillId="8" borderId="38" xfId="3" quotePrefix="1" applyNumberFormat="1" applyFont="1" applyFill="1" applyBorder="1" applyAlignment="1" applyProtection="1">
      <alignment horizontal="center"/>
    </xf>
    <xf numFmtId="171" fontId="21" fillId="0" borderId="38" xfId="3" applyNumberFormat="1" applyFont="1" applyFill="1" applyBorder="1" applyAlignment="1" applyProtection="1">
      <alignment horizontal="center"/>
    </xf>
    <xf numFmtId="0" fontId="39" fillId="2" borderId="38" xfId="3" applyFont="1" applyFill="1" applyBorder="1" applyAlignment="1" applyProtection="1">
      <alignment horizontal="center" vertical="center" wrapText="1"/>
    </xf>
    <xf numFmtId="0" fontId="21" fillId="2" borderId="102" xfId="3" applyFont="1" applyFill="1" applyBorder="1" applyAlignment="1" applyProtection="1">
      <alignment horizontal="center" wrapText="1"/>
    </xf>
    <xf numFmtId="0" fontId="21" fillId="0" borderId="0" xfId="3" applyFont="1" applyFill="1" applyBorder="1" applyAlignment="1" applyProtection="1">
      <alignment horizontal="center" wrapText="1"/>
    </xf>
    <xf numFmtId="177" fontId="20" fillId="8" borderId="38" xfId="3" applyNumberFormat="1" applyFont="1" applyFill="1" applyBorder="1" applyAlignment="1" applyProtection="1">
      <alignment horizontal="center"/>
    </xf>
    <xf numFmtId="171" fontId="21" fillId="0" borderId="0" xfId="3" applyNumberFormat="1" applyFont="1" applyFill="1" applyBorder="1" applyAlignment="1" applyProtection="1">
      <alignment horizontal="center"/>
    </xf>
    <xf numFmtId="177" fontId="20" fillId="0" borderId="0" xfId="3" applyNumberFormat="1" applyFont="1" applyFill="1" applyBorder="1" applyAlignment="1" applyProtection="1">
      <alignment horizontal="center"/>
    </xf>
    <xf numFmtId="0" fontId="21" fillId="0" borderId="0" xfId="3" applyFont="1" applyFill="1" applyBorder="1" applyAlignment="1" applyProtection="1">
      <alignment horizontal="center" vertical="center" wrapText="1"/>
    </xf>
    <xf numFmtId="0" fontId="4" fillId="0" borderId="0" xfId="3" applyFont="1" applyBorder="1" applyAlignment="1" applyProtection="1">
      <alignment horizontal="right"/>
    </xf>
    <xf numFmtId="44" fontId="4" fillId="0" borderId="0" xfId="2" applyFont="1" applyFill="1" applyBorder="1" applyAlignment="1" applyProtection="1"/>
    <xf numFmtId="44" fontId="4" fillId="0" borderId="0" xfId="2" applyFont="1" applyBorder="1" applyAlignment="1" applyProtection="1"/>
    <xf numFmtId="44" fontId="11" fillId="0" borderId="0" xfId="2" applyFont="1" applyFill="1" applyBorder="1" applyAlignment="1" applyProtection="1"/>
    <xf numFmtId="0" fontId="4" fillId="0" borderId="53" xfId="3" applyFont="1" applyBorder="1" applyAlignment="1" applyProtection="1"/>
    <xf numFmtId="0" fontId="13" fillId="0" borderId="12" xfId="3" applyFont="1" applyBorder="1" applyAlignment="1" applyProtection="1"/>
    <xf numFmtId="0" fontId="20" fillId="0" borderId="12" xfId="3" applyFont="1" applyFill="1" applyBorder="1" applyAlignment="1" applyProtection="1">
      <alignment horizontal="right"/>
    </xf>
    <xf numFmtId="171" fontId="21" fillId="0" borderId="87" xfId="2" applyNumberFormat="1" applyFont="1" applyFill="1" applyBorder="1" applyAlignment="1" applyProtection="1">
      <alignment horizontal="centerContinuous"/>
    </xf>
    <xf numFmtId="0" fontId="13" fillId="0" borderId="12" xfId="3" applyFont="1" applyBorder="1" applyAlignment="1" applyProtection="1">
      <alignment horizontal="centerContinuous"/>
    </xf>
    <xf numFmtId="165" fontId="13" fillId="0" borderId="11" xfId="3" applyNumberFormat="1" applyFont="1" applyFill="1" applyBorder="1" applyAlignment="1" applyProtection="1">
      <alignment horizontal="centerContinuous"/>
    </xf>
    <xf numFmtId="0" fontId="2" fillId="16" borderId="59" xfId="3" applyFont="1" applyFill="1" applyBorder="1" applyAlignment="1" applyProtection="1">
      <alignment horizontal="centerContinuous"/>
    </xf>
    <xf numFmtId="0" fontId="2" fillId="16" borderId="60" xfId="3" applyFont="1" applyFill="1" applyBorder="1" applyAlignment="1" applyProtection="1">
      <alignment horizontal="centerContinuous"/>
    </xf>
    <xf numFmtId="0" fontId="2" fillId="16" borderId="90" xfId="3" applyFont="1" applyFill="1" applyBorder="1" applyAlignment="1" applyProtection="1">
      <alignment horizontal="centerContinuous"/>
    </xf>
    <xf numFmtId="0" fontId="41" fillId="17" borderId="58" xfId="3" applyFont="1" applyFill="1" applyBorder="1" applyAlignment="1" applyProtection="1">
      <alignment horizontal="left"/>
    </xf>
    <xf numFmtId="0" fontId="42" fillId="17" borderId="4" xfId="3" applyFont="1" applyFill="1" applyBorder="1" applyAlignment="1" applyProtection="1">
      <alignment horizontal="center" wrapText="1"/>
    </xf>
    <xf numFmtId="171" fontId="41" fillId="17" borderId="113" xfId="2" applyNumberFormat="1" applyFont="1" applyFill="1" applyBorder="1" applyAlignment="1" applyProtection="1"/>
    <xf numFmtId="171" fontId="41" fillId="17" borderId="113" xfId="2" applyNumberFormat="1" applyFont="1" applyFill="1" applyBorder="1" applyAlignment="1" applyProtection="1">
      <alignment wrapText="1"/>
    </xf>
    <xf numFmtId="0" fontId="13" fillId="0" borderId="0" xfId="3" quotePrefix="1" applyFont="1" applyBorder="1" applyAlignment="1" applyProtection="1">
      <alignment horizontal="right"/>
    </xf>
    <xf numFmtId="0" fontId="13" fillId="0" borderId="0" xfId="3" applyFont="1" applyBorder="1" applyAlignment="1" applyProtection="1">
      <alignment horizontal="center"/>
    </xf>
    <xf numFmtId="0" fontId="13" fillId="0" borderId="13" xfId="3" applyFont="1" applyFill="1" applyBorder="1" applyAlignment="1" applyProtection="1"/>
    <xf numFmtId="0" fontId="13" fillId="0" borderId="0" xfId="3" applyFont="1" applyFill="1" applyBorder="1" applyAlignment="1" applyProtection="1">
      <alignment horizontal="right"/>
    </xf>
    <xf numFmtId="167" fontId="20" fillId="2" borderId="1" xfId="3" applyNumberFormat="1" applyFont="1" applyFill="1" applyBorder="1" applyAlignment="1" applyProtection="1">
      <alignment horizontal="center"/>
    </xf>
    <xf numFmtId="0" fontId="13" fillId="0" borderId="9" xfId="3" applyFont="1" applyFill="1" applyBorder="1" applyAlignment="1" applyProtection="1"/>
    <xf numFmtId="44" fontId="13" fillId="0" borderId="0" xfId="2" applyFont="1" applyBorder="1" applyAlignment="1" applyProtection="1"/>
    <xf numFmtId="44" fontId="13" fillId="0" borderId="50" xfId="2" applyFont="1" applyBorder="1" applyAlignment="1" applyProtection="1"/>
    <xf numFmtId="44" fontId="13" fillId="0" borderId="56" xfId="2" applyFont="1" applyBorder="1" applyAlignment="1" applyProtection="1"/>
    <xf numFmtId="0" fontId="13" fillId="0" borderId="3" xfId="3" applyFont="1" applyBorder="1" applyAlignment="1" applyProtection="1"/>
    <xf numFmtId="0" fontId="13" fillId="0" borderId="4" xfId="3" applyFont="1" applyBorder="1" applyAlignment="1" applyProtection="1">
      <alignment horizontal="right"/>
    </xf>
    <xf numFmtId="171" fontId="13" fillId="0" borderId="5" xfId="2" applyNumberFormat="1" applyFont="1" applyBorder="1" applyAlignment="1" applyProtection="1"/>
    <xf numFmtId="171" fontId="13" fillId="0" borderId="5" xfId="2" applyNumberFormat="1" applyFont="1" applyBorder="1" applyAlignment="1" applyProtection="1">
      <alignment horizontal="center"/>
    </xf>
    <xf numFmtId="0" fontId="20" fillId="2" borderId="1" xfId="3" applyFont="1" applyFill="1" applyBorder="1" applyAlignment="1" applyProtection="1">
      <alignment horizontal="center" wrapText="1"/>
    </xf>
    <xf numFmtId="0" fontId="9" fillId="0" borderId="0" xfId="3" applyFont="1" applyFill="1" applyBorder="1" applyAlignment="1" applyProtection="1"/>
    <xf numFmtId="0" fontId="20" fillId="0" borderId="0" xfId="3" applyFont="1" applyBorder="1" applyAlignment="1" applyProtection="1">
      <alignment horizontal="right" wrapText="1"/>
    </xf>
    <xf numFmtId="0" fontId="20" fillId="2" borderId="0" xfId="3" applyFont="1" applyFill="1" applyBorder="1" applyAlignment="1" applyProtection="1">
      <alignment horizontal="centerContinuous" wrapText="1"/>
    </xf>
    <xf numFmtId="0" fontId="13" fillId="0" borderId="72" xfId="3" applyFont="1" applyFill="1" applyBorder="1" applyAlignment="1" applyProtection="1"/>
    <xf numFmtId="167" fontId="20" fillId="2" borderId="0" xfId="3" applyNumberFormat="1" applyFont="1" applyFill="1" applyBorder="1" applyAlignment="1" applyProtection="1">
      <alignment horizontal="center"/>
    </xf>
    <xf numFmtId="44" fontId="13" fillId="0" borderId="53" xfId="2" applyFont="1" applyBorder="1" applyAlignment="1" applyProtection="1"/>
    <xf numFmtId="44" fontId="13" fillId="0" borderId="55" xfId="2" applyFont="1" applyBorder="1" applyAlignment="1" applyProtection="1"/>
    <xf numFmtId="44" fontId="13" fillId="0" borderId="92" xfId="2" applyFont="1" applyBorder="1" applyAlignment="1" applyProtection="1"/>
    <xf numFmtId="0" fontId="13" fillId="0" borderId="92" xfId="3" applyFont="1" applyBorder="1" applyAlignment="1" applyProtection="1"/>
    <xf numFmtId="0" fontId="13" fillId="0" borderId="0" xfId="3" applyFont="1" applyAlignment="1" applyProtection="1">
      <alignment horizontal="right"/>
    </xf>
    <xf numFmtId="171" fontId="13" fillId="0" borderId="55" xfId="2" applyNumberFormat="1" applyFont="1" applyBorder="1" applyAlignment="1" applyProtection="1"/>
    <xf numFmtId="0" fontId="20" fillId="3" borderId="48" xfId="3" applyFont="1" applyFill="1" applyBorder="1" applyAlignment="1" applyProtection="1">
      <alignment horizontal="centerContinuous" vertical="center" wrapText="1"/>
    </xf>
    <xf numFmtId="0" fontId="13" fillId="3" borderId="2" xfId="3" applyFont="1" applyFill="1" applyBorder="1" applyAlignment="1" applyProtection="1">
      <alignment horizontal="centerContinuous" vertical="center"/>
    </xf>
    <xf numFmtId="0" fontId="20" fillId="3" borderId="2" xfId="3" applyFont="1" applyFill="1" applyBorder="1" applyAlignment="1" applyProtection="1">
      <alignment horizontal="centerContinuous" vertical="center" wrapText="1"/>
    </xf>
    <xf numFmtId="0" fontId="13" fillId="0" borderId="9" xfId="3" applyFont="1" applyFill="1" applyBorder="1" applyAlignment="1" applyProtection="1">
      <alignment vertical="center"/>
    </xf>
    <xf numFmtId="0" fontId="43" fillId="12" borderId="32" xfId="3" applyFont="1" applyFill="1" applyBorder="1" applyAlignment="1" applyProtection="1">
      <alignment horizontal="centerContinuous" vertical="center"/>
    </xf>
    <xf numFmtId="0" fontId="43" fillId="12" borderId="113" xfId="3" applyFont="1" applyFill="1" applyBorder="1" applyAlignment="1" applyProtection="1">
      <alignment horizontal="centerContinuous" vertical="center"/>
    </xf>
    <xf numFmtId="0" fontId="43" fillId="18" borderId="58" xfId="3" applyFont="1" applyFill="1" applyBorder="1" applyAlignment="1" applyProtection="1">
      <alignment horizontal="centerContinuous" vertical="center"/>
    </xf>
    <xf numFmtId="0" fontId="43" fillId="18" borderId="113" xfId="3" applyFont="1" applyFill="1" applyBorder="1" applyAlignment="1" applyProtection="1">
      <alignment horizontal="centerContinuous" vertical="center"/>
    </xf>
    <xf numFmtId="0" fontId="13" fillId="0" borderId="0" xfId="3" applyFont="1" applyFill="1" applyAlignment="1" applyProtection="1">
      <alignment vertical="center"/>
    </xf>
    <xf numFmtId="203" fontId="20" fillId="0" borderId="48" xfId="3" applyNumberFormat="1" applyFont="1" applyFill="1" applyBorder="1" applyAlignment="1" applyProtection="1">
      <alignment horizontal="center"/>
    </xf>
    <xf numFmtId="0" fontId="13" fillId="0" borderId="2" xfId="3" applyFont="1" applyBorder="1" applyAlignment="1" applyProtection="1"/>
    <xf numFmtId="166" fontId="13" fillId="0" borderId="2" xfId="3" applyNumberFormat="1" applyFont="1" applyBorder="1" applyAlignment="1" applyProtection="1">
      <alignment horizontal="center"/>
    </xf>
    <xf numFmtId="0" fontId="13" fillId="0" borderId="50" xfId="3" applyFont="1" applyFill="1" applyBorder="1" applyAlignment="1" applyProtection="1"/>
    <xf numFmtId="171" fontId="44" fillId="2" borderId="2" xfId="2" applyNumberFormat="1" applyFont="1" applyFill="1" applyBorder="1" applyAlignment="1" applyProtection="1"/>
    <xf numFmtId="0" fontId="2" fillId="0" borderId="5" xfId="3" applyFont="1" applyBorder="1" applyAlignment="1" applyProtection="1"/>
    <xf numFmtId="0" fontId="2" fillId="0" borderId="3" xfId="3" applyFont="1" applyBorder="1" applyAlignment="1" applyProtection="1">
      <alignment horizontal="centerContinuous"/>
    </xf>
    <xf numFmtId="0" fontId="2" fillId="0" borderId="24" xfId="3" applyFont="1" applyBorder="1" applyAlignment="1" applyProtection="1"/>
    <xf numFmtId="0" fontId="20" fillId="3" borderId="48" xfId="3" applyFont="1" applyFill="1" applyBorder="1" applyAlignment="1" applyProtection="1">
      <alignment horizontal="centerContinuous"/>
    </xf>
    <xf numFmtId="0" fontId="20" fillId="2" borderId="2" xfId="3" applyFont="1" applyFill="1" applyBorder="1" applyAlignment="1" applyProtection="1">
      <alignment horizontal="center" wrapText="1"/>
    </xf>
    <xf numFmtId="0" fontId="20" fillId="0" borderId="0" xfId="3" applyFont="1" applyBorder="1" applyAlignment="1" applyProtection="1">
      <alignment horizontal="centerContinuous"/>
    </xf>
    <xf numFmtId="0" fontId="13" fillId="0" borderId="0" xfId="3" applyFont="1" applyBorder="1" applyAlignment="1" applyProtection="1">
      <alignment horizontal="centerContinuous"/>
    </xf>
    <xf numFmtId="2" fontId="17" fillId="0" borderId="0" xfId="3" applyNumberFormat="1" applyFont="1" applyBorder="1" applyAlignment="1" applyProtection="1">
      <alignment horizontal="center"/>
    </xf>
    <xf numFmtId="2" fontId="2" fillId="0" borderId="0" xfId="3" applyNumberFormat="1" applyFont="1" applyBorder="1" applyAlignment="1" applyProtection="1">
      <alignment horizontal="center"/>
    </xf>
    <xf numFmtId="2" fontId="20" fillId="0" borderId="56" xfId="3" applyNumberFormat="1" applyFont="1" applyBorder="1" applyAlignment="1" applyProtection="1">
      <alignment horizontal="center"/>
    </xf>
    <xf numFmtId="2" fontId="13" fillId="0" borderId="50" xfId="3" applyNumberFormat="1" applyFont="1" applyBorder="1" applyAlignment="1" applyProtection="1">
      <alignment horizontal="center"/>
    </xf>
    <xf numFmtId="0" fontId="13" fillId="0" borderId="56" xfId="3" applyFont="1" applyBorder="1" applyAlignment="1" applyProtection="1">
      <alignment horizontal="center"/>
    </xf>
    <xf numFmtId="0" fontId="13" fillId="0" borderId="50" xfId="3" applyFont="1" applyBorder="1" applyAlignment="1" applyProtection="1">
      <alignment horizontal="center"/>
    </xf>
    <xf numFmtId="166" fontId="21" fillId="0" borderId="48" xfId="3" applyNumberFormat="1" applyFont="1" applyFill="1" applyBorder="1" applyAlignment="1" applyProtection="1">
      <alignment horizontal="center"/>
    </xf>
    <xf numFmtId="0" fontId="13" fillId="0" borderId="2" xfId="3" applyFont="1" applyBorder="1" applyAlignment="1" applyProtection="1">
      <alignment horizontal="center"/>
    </xf>
    <xf numFmtId="171" fontId="13" fillId="0" borderId="2" xfId="2" applyNumberFormat="1" applyFont="1" applyBorder="1" applyAlignment="1" applyProtection="1">
      <alignment horizontal="center"/>
    </xf>
    <xf numFmtId="0" fontId="13" fillId="0" borderId="87" xfId="3" applyFont="1" applyBorder="1" applyAlignment="1" applyProtection="1"/>
    <xf numFmtId="0" fontId="13" fillId="0" borderId="11" xfId="3" applyFont="1" applyBorder="1" applyAlignment="1" applyProtection="1"/>
    <xf numFmtId="0" fontId="13" fillId="0" borderId="9" xfId="3" applyFont="1" applyBorder="1" applyAlignment="1" applyProtection="1"/>
    <xf numFmtId="0" fontId="13" fillId="0" borderId="13" xfId="3" applyFont="1" applyBorder="1" applyAlignment="1" applyProtection="1"/>
    <xf numFmtId="0" fontId="13" fillId="0" borderId="43" xfId="3" applyFont="1" applyBorder="1" applyAlignment="1" applyProtection="1"/>
    <xf numFmtId="166" fontId="21" fillId="0" borderId="11" xfId="3" applyNumberFormat="1" applyFont="1" applyFill="1" applyBorder="1" applyAlignment="1" applyProtection="1">
      <alignment horizontal="center"/>
    </xf>
    <xf numFmtId="0" fontId="13" fillId="0" borderId="7" xfId="3" applyFont="1" applyBorder="1" applyAlignment="1" applyProtection="1"/>
    <xf numFmtId="0" fontId="20" fillId="2" borderId="7" xfId="3" applyFont="1" applyFill="1" applyBorder="1" applyAlignment="1" applyProtection="1">
      <alignment horizontal="center"/>
    </xf>
    <xf numFmtId="2" fontId="17" fillId="0" borderId="56" xfId="3" applyNumberFormat="1" applyFont="1" applyBorder="1" applyAlignment="1" applyProtection="1">
      <alignment horizontal="center"/>
    </xf>
    <xf numFmtId="0" fontId="20" fillId="3" borderId="48" xfId="3" applyFont="1" applyFill="1" applyBorder="1" applyAlignment="1" applyProtection="1">
      <alignment horizontal="center"/>
    </xf>
    <xf numFmtId="204" fontId="20" fillId="0" borderId="48" xfId="3" applyNumberFormat="1" applyFont="1" applyFill="1" applyBorder="1" applyAlignment="1" applyProtection="1">
      <alignment horizontal="centerContinuous"/>
    </xf>
    <xf numFmtId="0" fontId="20" fillId="2" borderId="49" xfId="3" applyFont="1" applyFill="1" applyBorder="1" applyAlignment="1" applyProtection="1">
      <alignment horizontal="center"/>
    </xf>
    <xf numFmtId="0" fontId="20" fillId="3" borderId="48" xfId="3" applyFont="1" applyFill="1" applyBorder="1" applyAlignment="1" applyProtection="1"/>
    <xf numFmtId="0" fontId="17" fillId="0" borderId="0" xfId="3" applyFont="1" applyBorder="1" applyAlignment="1" applyProtection="1">
      <alignment horizontal="right"/>
    </xf>
    <xf numFmtId="205" fontId="20" fillId="0" borderId="48" xfId="3" applyNumberFormat="1" applyFont="1" applyFill="1" applyBorder="1" applyAlignment="1" applyProtection="1">
      <alignment horizontal="center"/>
    </xf>
    <xf numFmtId="164" fontId="20" fillId="2" borderId="2" xfId="3" applyNumberFormat="1" applyFont="1" applyFill="1" applyBorder="1" applyAlignment="1" applyProtection="1">
      <alignment horizontal="center"/>
    </xf>
    <xf numFmtId="44" fontId="20" fillId="0" borderId="2" xfId="2" applyFont="1" applyFill="1" applyBorder="1" applyAlignment="1" applyProtection="1">
      <alignment horizontal="center"/>
    </xf>
    <xf numFmtId="4" fontId="13" fillId="0" borderId="9" xfId="2" applyNumberFormat="1" applyFont="1" applyBorder="1" applyAlignment="1" applyProtection="1">
      <alignment horizontal="centerContinuous"/>
    </xf>
    <xf numFmtId="0" fontId="13" fillId="0" borderId="92" xfId="3" applyFont="1" applyBorder="1" applyAlignment="1" applyProtection="1">
      <alignment horizontal="center"/>
    </xf>
    <xf numFmtId="0" fontId="13" fillId="0" borderId="55" xfId="3" applyFont="1" applyBorder="1" applyAlignment="1" applyProtection="1">
      <alignment horizontal="center"/>
    </xf>
    <xf numFmtId="171" fontId="13" fillId="0" borderId="6" xfId="2" applyNumberFormat="1" applyFont="1" applyBorder="1" applyAlignment="1" applyProtection="1"/>
    <xf numFmtId="0" fontId="20" fillId="0" borderId="84" xfId="3" applyFont="1" applyBorder="1" applyAlignment="1" applyProtection="1">
      <alignment horizontal="right"/>
    </xf>
    <xf numFmtId="0" fontId="13" fillId="2" borderId="2" xfId="3" applyFont="1" applyFill="1" applyBorder="1" applyAlignment="1" applyProtection="1">
      <alignment horizontal="center"/>
    </xf>
    <xf numFmtId="171" fontId="13" fillId="2" borderId="2" xfId="2" applyNumberFormat="1" applyFont="1" applyFill="1" applyBorder="1" applyAlignment="1" applyProtection="1"/>
    <xf numFmtId="171" fontId="13" fillId="0" borderId="43" xfId="2" applyNumberFormat="1" applyFont="1" applyBorder="1" applyAlignment="1" applyProtection="1"/>
    <xf numFmtId="0" fontId="20" fillId="0" borderId="1" xfId="3" applyFont="1" applyBorder="1" applyAlignment="1" applyProtection="1"/>
    <xf numFmtId="0" fontId="13" fillId="0" borderId="1" xfId="3" applyFont="1" applyBorder="1" applyAlignment="1" applyProtection="1"/>
    <xf numFmtId="0" fontId="20" fillId="0" borderId="9" xfId="3" applyFont="1" applyBorder="1" applyAlignment="1" applyProtection="1">
      <alignment horizontal="right"/>
    </xf>
    <xf numFmtId="165" fontId="13" fillId="2" borderId="2" xfId="3" applyNumberFormat="1" applyFont="1" applyFill="1" applyBorder="1" applyAlignment="1" applyProtection="1">
      <alignment horizontal="center"/>
    </xf>
    <xf numFmtId="171" fontId="13" fillId="2" borderId="2" xfId="2" applyNumberFormat="1" applyFont="1" applyFill="1" applyBorder="1" applyAlignment="1" applyProtection="1">
      <alignment horizontal="center"/>
    </xf>
    <xf numFmtId="171" fontId="13" fillId="0" borderId="48" xfId="2" applyNumberFormat="1" applyFont="1" applyBorder="1" applyAlignment="1" applyProtection="1"/>
    <xf numFmtId="49" fontId="20" fillId="3" borderId="48" xfId="3" applyNumberFormat="1" applyFont="1" applyFill="1" applyBorder="1" applyAlignment="1" applyProtection="1">
      <alignment horizontal="center"/>
    </xf>
    <xf numFmtId="165" fontId="13" fillId="0" borderId="2" xfId="3" applyNumberFormat="1" applyFont="1" applyFill="1" applyBorder="1" applyAlignment="1" applyProtection="1">
      <alignment horizontal="center"/>
    </xf>
    <xf numFmtId="0" fontId="20" fillId="0" borderId="48" xfId="3" applyFont="1" applyBorder="1" applyAlignment="1" applyProtection="1"/>
    <xf numFmtId="0" fontId="20" fillId="0" borderId="43" xfId="3" applyFont="1" applyBorder="1" applyAlignment="1" applyProtection="1">
      <alignment horizontal="right"/>
    </xf>
    <xf numFmtId="171" fontId="13" fillId="0" borderId="11" xfId="2" applyNumberFormat="1" applyFont="1" applyBorder="1" applyAlignment="1" applyProtection="1"/>
    <xf numFmtId="44" fontId="20" fillId="0" borderId="0" xfId="2" applyFont="1" applyBorder="1" applyAlignment="1" applyProtection="1">
      <alignment horizontal="right"/>
    </xf>
    <xf numFmtId="2" fontId="7" fillId="0" borderId="56" xfId="3" applyNumberFormat="1" applyFont="1" applyBorder="1" applyAlignment="1" applyProtection="1">
      <alignment horizontal="center"/>
    </xf>
    <xf numFmtId="2" fontId="4" fillId="0" borderId="50" xfId="3" applyNumberFormat="1" applyFont="1" applyBorder="1" applyAlignment="1" applyProtection="1">
      <alignment horizontal="center"/>
    </xf>
    <xf numFmtId="44" fontId="20" fillId="0" borderId="0" xfId="2" applyFont="1" applyBorder="1" applyAlignment="1" applyProtection="1">
      <alignment horizontal="center"/>
    </xf>
    <xf numFmtId="0" fontId="13" fillId="0" borderId="9" xfId="3" applyFont="1" applyBorder="1" applyAlignment="1" applyProtection="1">
      <alignment horizontal="left"/>
    </xf>
    <xf numFmtId="171" fontId="13" fillId="0" borderId="1" xfId="2" applyNumberFormat="1" applyFont="1" applyBorder="1" applyAlignment="1" applyProtection="1"/>
    <xf numFmtId="0" fontId="13" fillId="0" borderId="49" xfId="3" applyFont="1" applyBorder="1" applyAlignment="1" applyProtection="1"/>
    <xf numFmtId="0" fontId="13" fillId="0" borderId="2" xfId="3" applyFont="1" applyBorder="1" applyAlignment="1" applyProtection="1">
      <alignment horizontal="right"/>
    </xf>
    <xf numFmtId="171" fontId="13" fillId="0" borderId="0" xfId="2" applyNumberFormat="1" applyFont="1" applyBorder="1" applyAlignment="1" applyProtection="1"/>
    <xf numFmtId="2" fontId="17" fillId="0" borderId="53" xfId="3" applyNumberFormat="1" applyFont="1" applyBorder="1" applyAlignment="1" applyProtection="1">
      <alignment horizontal="center"/>
    </xf>
    <xf numFmtId="2" fontId="2" fillId="0" borderId="53" xfId="3" applyNumberFormat="1" applyFont="1" applyBorder="1" applyAlignment="1" applyProtection="1">
      <alignment horizontal="center"/>
    </xf>
    <xf numFmtId="2" fontId="7" fillId="0" borderId="92" xfId="3" applyNumberFormat="1" applyFont="1" applyBorder="1" applyAlignment="1" applyProtection="1">
      <alignment horizontal="center"/>
    </xf>
    <xf numFmtId="2" fontId="4" fillId="0" borderId="55" xfId="3" applyNumberFormat="1" applyFont="1" applyBorder="1" applyAlignment="1" applyProtection="1">
      <alignment horizontal="center"/>
    </xf>
    <xf numFmtId="2" fontId="17" fillId="0" borderId="92" xfId="3" applyNumberFormat="1" applyFont="1" applyBorder="1" applyAlignment="1" applyProtection="1">
      <alignment horizontal="center"/>
    </xf>
    <xf numFmtId="171" fontId="13" fillId="0" borderId="1" xfId="3" applyNumberFormat="1" applyFont="1" applyBorder="1" applyAlignment="1" applyProtection="1"/>
    <xf numFmtId="9" fontId="20" fillId="2" borderId="2" xfId="3" applyNumberFormat="1" applyFont="1" applyFill="1" applyBorder="1" applyAlignment="1" applyProtection="1">
      <alignment horizontal="center"/>
    </xf>
    <xf numFmtId="171" fontId="13" fillId="0" borderId="8" xfId="2" applyNumberFormat="1" applyFont="1" applyBorder="1" applyAlignment="1" applyProtection="1"/>
    <xf numFmtId="0" fontId="20" fillId="0" borderId="1" xfId="3" applyFont="1" applyBorder="1" applyAlignment="1" applyProtection="1">
      <alignment horizontal="right"/>
    </xf>
    <xf numFmtId="0" fontId="7" fillId="0" borderId="2" xfId="3" applyFont="1" applyBorder="1" applyAlignment="1" applyProtection="1">
      <alignment horizontal="right"/>
    </xf>
    <xf numFmtId="171" fontId="11" fillId="2" borderId="2" xfId="2" applyNumberFormat="1" applyFont="1" applyFill="1" applyBorder="1" applyAlignment="1" applyProtection="1">
      <alignment horizontal="center"/>
    </xf>
    <xf numFmtId="0" fontId="45" fillId="0" borderId="0" xfId="7" applyFont="1"/>
    <xf numFmtId="206" fontId="45" fillId="0" borderId="0" xfId="7" applyNumberFormat="1" applyFont="1" applyProtection="1"/>
    <xf numFmtId="37" fontId="45" fillId="0" borderId="0" xfId="7" applyNumberFormat="1" applyFont="1" applyProtection="1"/>
    <xf numFmtId="0" fontId="45" fillId="0" borderId="0" xfId="7" applyFont="1" applyProtection="1"/>
    <xf numFmtId="206" fontId="45" fillId="0" borderId="0" xfId="7" applyNumberFormat="1" applyFont="1" applyAlignment="1" applyProtection="1">
      <alignment horizontal="right"/>
    </xf>
    <xf numFmtId="2" fontId="45" fillId="0" borderId="0" xfId="7" applyNumberFormat="1" applyFont="1" applyAlignment="1">
      <alignment horizontal="left"/>
    </xf>
    <xf numFmtId="207" fontId="45" fillId="0" borderId="0" xfId="7" applyNumberFormat="1" applyFont="1" applyAlignment="1" applyProtection="1">
      <alignment horizontal="right"/>
    </xf>
    <xf numFmtId="208" fontId="45" fillId="0" borderId="0" xfId="7" applyNumberFormat="1" applyFont="1" applyProtection="1"/>
    <xf numFmtId="208" fontId="45" fillId="0" borderId="0" xfId="7" applyNumberFormat="1" applyFont="1" applyAlignment="1" applyProtection="1">
      <alignment horizontal="right"/>
    </xf>
    <xf numFmtId="14" fontId="45" fillId="0" borderId="0" xfId="7" applyNumberFormat="1" applyFont="1" applyAlignment="1">
      <alignment horizontal="left"/>
    </xf>
    <xf numFmtId="49" fontId="45" fillId="0" borderId="0" xfId="7" applyNumberFormat="1" applyFont="1" applyProtection="1"/>
    <xf numFmtId="37" fontId="45" fillId="0" borderId="0" xfId="7" applyNumberFormat="1" applyFont="1" applyAlignment="1" applyProtection="1">
      <alignment horizontal="right"/>
    </xf>
    <xf numFmtId="206" fontId="45" fillId="0" borderId="0" xfId="7" applyNumberFormat="1" applyFont="1"/>
    <xf numFmtId="208" fontId="45" fillId="0" borderId="0" xfId="7" applyNumberFormat="1" applyFont="1"/>
    <xf numFmtId="37" fontId="45" fillId="0" borderId="0" xfId="7" applyNumberFormat="1" applyFont="1"/>
    <xf numFmtId="0" fontId="46" fillId="0" borderId="0" xfId="0" applyFont="1" applyAlignment="1" applyProtection="1"/>
    <xf numFmtId="0" fontId="46" fillId="0" borderId="0" xfId="0" applyFont="1" applyBorder="1" applyAlignment="1" applyProtection="1"/>
    <xf numFmtId="0" fontId="46" fillId="0" borderId="0" xfId="0" applyFont="1" applyBorder="1" applyAlignment="1" applyProtection="1">
      <alignment horizontal="right"/>
    </xf>
    <xf numFmtId="209" fontId="46" fillId="0" borderId="0" xfId="0" applyNumberFormat="1" applyFont="1" applyAlignment="1" applyProtection="1"/>
    <xf numFmtId="0" fontId="46" fillId="0" borderId="0" xfId="0" applyFont="1" applyFill="1" applyBorder="1" applyAlignment="1" applyProtection="1"/>
    <xf numFmtId="167" fontId="46" fillId="0" borderId="0" xfId="4" applyNumberFormat="1" applyFont="1" applyFill="1" applyBorder="1" applyAlignment="1" applyProtection="1">
      <alignment horizontal="center"/>
    </xf>
    <xf numFmtId="165" fontId="46" fillId="0" borderId="0" xfId="0" applyNumberFormat="1" applyFont="1" applyAlignment="1" applyProtection="1">
      <alignment horizontal="left"/>
    </xf>
    <xf numFmtId="0" fontId="47" fillId="0" borderId="0" xfId="0" applyFont="1" applyFill="1" applyAlignment="1" applyProtection="1"/>
    <xf numFmtId="173" fontId="46" fillId="2" borderId="0" xfId="0" applyNumberFormat="1" applyFont="1" applyFill="1" applyBorder="1" applyAlignment="1" applyProtection="1">
      <alignment horizontal="center"/>
    </xf>
    <xf numFmtId="0" fontId="46" fillId="0" borderId="0" xfId="0" applyFont="1" applyAlignment="1" applyProtection="1">
      <alignment horizontal="left"/>
    </xf>
    <xf numFmtId="0" fontId="47" fillId="0" borderId="0" xfId="0" applyFont="1" applyFill="1" applyBorder="1" applyAlignment="1" applyProtection="1">
      <alignment horizontal="right"/>
    </xf>
    <xf numFmtId="166" fontId="47" fillId="2" borderId="0" xfId="0" applyNumberFormat="1" applyFont="1" applyFill="1" applyBorder="1" applyAlignment="1" applyProtection="1">
      <alignment horizontal="center"/>
    </xf>
    <xf numFmtId="0" fontId="46" fillId="0" borderId="0" xfId="0" applyFont="1" applyBorder="1" applyAlignment="1" applyProtection="1">
      <alignment horizontal="left"/>
    </xf>
    <xf numFmtId="0" fontId="46" fillId="0" borderId="0" xfId="0" applyFont="1" applyBorder="1" applyAlignment="1"/>
    <xf numFmtId="0" fontId="46" fillId="0" borderId="0" xfId="0" applyFont="1" applyFill="1" applyAlignment="1" applyProtection="1"/>
    <xf numFmtId="0" fontId="46" fillId="0" borderId="93" xfId="0" applyFont="1" applyBorder="1" applyAlignment="1">
      <alignment horizontal="left"/>
    </xf>
    <xf numFmtId="171" fontId="46" fillId="3" borderId="38" xfId="0" applyNumberFormat="1" applyFont="1" applyFill="1" applyBorder="1" applyAlignment="1">
      <alignment horizontal="center"/>
    </xf>
    <xf numFmtId="0" fontId="46" fillId="0" borderId="15" xfId="0" applyFont="1" applyBorder="1" applyAlignment="1" applyProtection="1">
      <alignment horizontal="center"/>
    </xf>
    <xf numFmtId="171" fontId="47" fillId="5" borderId="82" xfId="2" applyNumberFormat="1" applyFont="1" applyFill="1" applyBorder="1" applyAlignment="1">
      <alignment horizontal="center" vertical="center"/>
    </xf>
    <xf numFmtId="171" fontId="47" fillId="6" borderId="38" xfId="2" applyNumberFormat="1" applyFont="1" applyFill="1" applyBorder="1" applyAlignment="1">
      <alignment horizontal="center" vertical="center"/>
    </xf>
    <xf numFmtId="171" fontId="47" fillId="5" borderId="38" xfId="2" applyNumberFormat="1" applyFont="1" applyFill="1" applyBorder="1" applyAlignment="1">
      <alignment horizontal="center" vertical="center"/>
    </xf>
    <xf numFmtId="171" fontId="47" fillId="2" borderId="38" xfId="0" applyNumberFormat="1" applyFont="1" applyFill="1" applyBorder="1" applyAlignment="1" applyProtection="1">
      <alignment horizontal="center"/>
    </xf>
    <xf numFmtId="0" fontId="46" fillId="0" borderId="1" xfId="0" applyFont="1" applyFill="1" applyBorder="1" applyAlignment="1" applyProtection="1">
      <alignment horizontal="center"/>
    </xf>
    <xf numFmtId="0" fontId="46" fillId="0" borderId="0" xfId="0" applyFont="1" applyAlignment="1" applyProtection="1">
      <alignment horizontal="right"/>
    </xf>
    <xf numFmtId="0" fontId="46" fillId="2" borderId="1" xfId="0" applyFont="1" applyFill="1" applyBorder="1" applyAlignment="1" applyProtection="1">
      <alignment horizontal="center"/>
    </xf>
    <xf numFmtId="185" fontId="47" fillId="2" borderId="8" xfId="0" applyNumberFormat="1" applyFont="1" applyFill="1" applyBorder="1" applyAlignment="1" applyProtection="1"/>
    <xf numFmtId="167" fontId="46" fillId="2" borderId="8" xfId="4" applyNumberFormat="1" applyFont="1" applyFill="1" applyBorder="1" applyAlignment="1" applyProtection="1">
      <alignment horizontal="center"/>
    </xf>
    <xf numFmtId="0" fontId="46" fillId="0" borderId="0" xfId="0" applyFont="1" applyFill="1" applyAlignment="1" applyProtection="1">
      <alignment horizontal="right"/>
    </xf>
    <xf numFmtId="0" fontId="46" fillId="0" borderId="0" xfId="0" applyFont="1" applyBorder="1" applyAlignment="1" applyProtection="1">
      <alignment horizontal="center"/>
    </xf>
    <xf numFmtId="171" fontId="47" fillId="2" borderId="2" xfId="2" applyNumberFormat="1" applyFont="1" applyFill="1" applyBorder="1" applyAlignment="1" applyProtection="1"/>
    <xf numFmtId="0" fontId="46" fillId="0" borderId="48" xfId="0" applyFont="1" applyBorder="1" applyAlignment="1" applyProtection="1"/>
    <xf numFmtId="182" fontId="46" fillId="0" borderId="44" xfId="1" applyNumberFormat="1" applyFont="1" applyBorder="1" applyAlignment="1" applyProtection="1">
      <alignment horizontal="center"/>
    </xf>
    <xf numFmtId="165" fontId="46" fillId="2" borderId="41" xfId="0" applyNumberFormat="1" applyFont="1" applyFill="1" applyBorder="1" applyAlignment="1" applyProtection="1">
      <alignment horizontal="center"/>
    </xf>
    <xf numFmtId="165" fontId="47" fillId="0" borderId="44" xfId="0" applyNumberFormat="1" applyFont="1" applyFill="1" applyBorder="1" applyAlignment="1" applyProtection="1">
      <alignment horizontal="center"/>
    </xf>
    <xf numFmtId="0" fontId="47" fillId="0" borderId="50" xfId="0" applyFont="1" applyFill="1" applyBorder="1" applyAlignment="1" applyProtection="1"/>
    <xf numFmtId="165" fontId="46" fillId="0" borderId="7" xfId="0" applyNumberFormat="1" applyFont="1" applyFill="1" applyBorder="1" applyAlignment="1" applyProtection="1">
      <alignment horizontal="center"/>
    </xf>
    <xf numFmtId="165" fontId="46" fillId="2" borderId="29" xfId="0" applyNumberFormat="1" applyFont="1" applyFill="1" applyBorder="1" applyAlignment="1" applyProtection="1">
      <alignment horizontal="center"/>
    </xf>
    <xf numFmtId="164" fontId="46" fillId="0" borderId="44" xfId="0" applyNumberFormat="1" applyFont="1" applyBorder="1" applyAlignment="1" applyProtection="1">
      <alignment horizontal="center"/>
    </xf>
    <xf numFmtId="0" fontId="48" fillId="0" borderId="52" xfId="0" applyFont="1" applyBorder="1" applyAlignment="1" applyProtection="1"/>
    <xf numFmtId="165" fontId="46" fillId="0" borderId="42" xfId="0" applyNumberFormat="1" applyFont="1" applyBorder="1" applyAlignment="1" applyProtection="1">
      <alignment horizontal="center"/>
    </xf>
    <xf numFmtId="1" fontId="46" fillId="0" borderId="55" xfId="0" applyNumberFormat="1" applyFont="1" applyBorder="1" applyAlignment="1" applyProtection="1">
      <alignment horizontal="center"/>
    </xf>
    <xf numFmtId="0" fontId="46" fillId="0" borderId="0" xfId="0" applyFont="1" applyFill="1" applyBorder="1" applyAlignment="1" applyProtection="1">
      <alignment horizontal="left"/>
    </xf>
    <xf numFmtId="1" fontId="46" fillId="0" borderId="0" xfId="0" applyNumberFormat="1" applyFont="1" applyFill="1" applyBorder="1" applyAlignment="1" applyProtection="1">
      <alignment horizontal="center"/>
    </xf>
    <xf numFmtId="44" fontId="46" fillId="0" borderId="11" xfId="2" applyFont="1" applyBorder="1" applyAlignment="1" applyProtection="1"/>
    <xf numFmtId="0" fontId="46" fillId="0" borderId="1" xfId="0" applyFont="1" applyFill="1" applyBorder="1" applyAlignment="1" applyProtection="1"/>
    <xf numFmtId="0" fontId="46" fillId="0" borderId="0" xfId="0" applyFont="1" applyFill="1" applyBorder="1" applyAlignment="1" applyProtection="1">
      <alignment horizontal="right"/>
    </xf>
    <xf numFmtId="44" fontId="47" fillId="0" borderId="0" xfId="0" applyNumberFormat="1" applyFont="1" applyFill="1" applyBorder="1" applyAlignment="1" applyProtection="1"/>
    <xf numFmtId="0" fontId="46" fillId="0" borderId="49" xfId="0" applyFont="1" applyBorder="1" applyAlignment="1" applyProtection="1">
      <alignment textRotation="90"/>
    </xf>
    <xf numFmtId="0" fontId="46" fillId="0" borderId="87" xfId="0" applyFont="1" applyBorder="1" applyAlignment="1" applyProtection="1">
      <alignment textRotation="90"/>
    </xf>
    <xf numFmtId="0" fontId="46" fillId="0" borderId="84" xfId="0" applyFont="1" applyBorder="1" applyAlignment="1" applyProtection="1">
      <alignment textRotation="90"/>
    </xf>
    <xf numFmtId="0" fontId="46" fillId="0" borderId="13" xfId="0" applyFont="1" applyBorder="1" applyAlignment="1" applyProtection="1">
      <alignment textRotation="90"/>
    </xf>
    <xf numFmtId="0" fontId="46" fillId="0" borderId="7" xfId="0" applyFont="1" applyBorder="1" applyAlignment="1" applyProtection="1">
      <alignment textRotation="90"/>
    </xf>
    <xf numFmtId="0" fontId="46" fillId="0" borderId="72" xfId="0" applyFont="1" applyBorder="1" applyAlignment="1" applyProtection="1">
      <alignment textRotation="90"/>
    </xf>
    <xf numFmtId="0" fontId="46" fillId="0" borderId="2" xfId="0" applyFont="1" applyBorder="1" applyAlignment="1" applyProtection="1">
      <alignment horizontal="center"/>
    </xf>
    <xf numFmtId="0" fontId="46" fillId="0" borderId="6" xfId="0" applyFont="1" applyBorder="1" applyAlignment="1" applyProtection="1">
      <alignment horizontal="center"/>
    </xf>
    <xf numFmtId="0" fontId="46" fillId="0" borderId="82" xfId="0" applyFont="1" applyFill="1" applyBorder="1" applyAlignment="1" applyProtection="1"/>
    <xf numFmtId="0" fontId="46" fillId="0" borderId="95" xfId="0" applyFont="1" applyFill="1" applyBorder="1" applyAlignment="1" applyProtection="1"/>
    <xf numFmtId="0" fontId="46" fillId="0" borderId="8" xfId="0" applyFont="1" applyFill="1" applyBorder="1" applyAlignment="1" applyProtection="1"/>
    <xf numFmtId="0" fontId="46" fillId="0" borderId="43" xfId="0" applyFont="1" applyBorder="1" applyAlignment="1" applyProtection="1"/>
    <xf numFmtId="165" fontId="47" fillId="2" borderId="38" xfId="0" applyNumberFormat="1" applyFont="1" applyFill="1" applyBorder="1" applyAlignment="1" applyProtection="1">
      <alignment horizontal="center"/>
    </xf>
    <xf numFmtId="165" fontId="47" fillId="7" borderId="38" xfId="0" applyNumberFormat="1" applyFont="1" applyFill="1" applyBorder="1" applyAlignment="1" applyProtection="1">
      <alignment horizontal="center"/>
    </xf>
    <xf numFmtId="1" fontId="46" fillId="2" borderId="0" xfId="0" applyNumberFormat="1" applyFont="1" applyFill="1" applyBorder="1" applyAlignment="1" applyProtection="1">
      <alignment horizontal="center"/>
    </xf>
    <xf numFmtId="165" fontId="47" fillId="6" borderId="38" xfId="0" applyNumberFormat="1" applyFont="1" applyFill="1" applyBorder="1" applyAlignment="1" applyProtection="1">
      <alignment horizontal="center"/>
      <protection locked="0"/>
    </xf>
    <xf numFmtId="0" fontId="46" fillId="0" borderId="0" xfId="0" applyFont="1" applyBorder="1" applyAlignment="1" applyProtection="1">
      <alignment horizontal="center" textRotation="90"/>
    </xf>
    <xf numFmtId="0" fontId="46" fillId="0" borderId="0" xfId="0" applyFont="1" applyFill="1" applyBorder="1" applyAlignment="1" applyProtection="1">
      <alignment horizontal="center"/>
    </xf>
    <xf numFmtId="0" fontId="46" fillId="0" borderId="0" xfId="0" applyFont="1" applyFill="1" applyAlignment="1" applyProtection="1">
      <alignment horizontal="center"/>
    </xf>
    <xf numFmtId="174" fontId="47" fillId="0" borderId="1" xfId="0" applyNumberFormat="1" applyFont="1" applyFill="1" applyBorder="1" applyAlignment="1" applyProtection="1">
      <alignment horizontal="center"/>
    </xf>
    <xf numFmtId="0" fontId="46" fillId="0" borderId="0" xfId="0" applyFont="1" applyBorder="1" applyAlignment="1" applyProtection="1">
      <alignment textRotation="90"/>
    </xf>
    <xf numFmtId="2" fontId="46" fillId="0" borderId="0" xfId="0" applyNumberFormat="1" applyFont="1" applyAlignment="1" applyProtection="1"/>
    <xf numFmtId="2" fontId="50" fillId="0" borderId="0" xfId="0" applyNumberFormat="1" applyFont="1" applyAlignment="1" applyProtection="1"/>
    <xf numFmtId="0" fontId="46" fillId="0" borderId="0" xfId="0" applyFont="1" applyBorder="1" applyAlignment="1">
      <alignment horizontal="left" vertical="top"/>
    </xf>
    <xf numFmtId="0" fontId="46" fillId="0" borderId="0" xfId="0" applyFont="1" applyFill="1" applyBorder="1" applyAlignment="1">
      <alignment vertical="center"/>
    </xf>
    <xf numFmtId="171" fontId="47" fillId="0" borderId="0" xfId="2" applyNumberFormat="1" applyFont="1" applyFill="1" applyBorder="1" applyAlignment="1">
      <alignment horizontal="right" vertical="center"/>
    </xf>
    <xf numFmtId="171" fontId="46" fillId="0" borderId="0" xfId="2" applyNumberFormat="1" applyFont="1" applyFill="1" applyBorder="1" applyAlignment="1">
      <alignment horizontal="right" vertical="center"/>
    </xf>
    <xf numFmtId="0" fontId="46" fillId="0" borderId="1" xfId="0" applyFont="1" applyBorder="1" applyAlignment="1" applyProtection="1">
      <alignment horizontal="center"/>
    </xf>
    <xf numFmtId="171" fontId="46" fillId="2" borderId="2" xfId="2" applyNumberFormat="1" applyFont="1" applyFill="1" applyBorder="1" applyAlignment="1" applyProtection="1">
      <alignment horizontal="center"/>
    </xf>
    <xf numFmtId="172" fontId="46" fillId="0" borderId="0" xfId="0" applyNumberFormat="1" applyFont="1" applyAlignment="1" applyProtection="1"/>
    <xf numFmtId="0" fontId="46" fillId="0" borderId="0" xfId="0" applyFont="1" applyBorder="1" applyAlignment="1">
      <alignment vertical="top"/>
    </xf>
    <xf numFmtId="171" fontId="46" fillId="0" borderId="0" xfId="0" applyNumberFormat="1" applyFont="1" applyFill="1" applyBorder="1" applyAlignment="1"/>
    <xf numFmtId="171" fontId="47" fillId="0" borderId="0" xfId="2" applyNumberFormat="1" applyFont="1" applyFill="1" applyBorder="1" applyAlignment="1">
      <alignment horizontal="center" vertical="center"/>
    </xf>
    <xf numFmtId="0" fontId="46" fillId="0" borderId="2" xfId="0" applyFont="1" applyFill="1" applyBorder="1" applyAlignment="1" applyProtection="1">
      <alignment horizontal="center"/>
    </xf>
    <xf numFmtId="171" fontId="46" fillId="0" borderId="91" xfId="0" applyNumberFormat="1" applyFont="1" applyFill="1" applyBorder="1" applyAlignment="1"/>
    <xf numFmtId="171" fontId="46" fillId="0" borderId="66" xfId="0" applyNumberFormat="1" applyFont="1" applyFill="1" applyBorder="1" applyAlignment="1"/>
    <xf numFmtId="171" fontId="46" fillId="0" borderId="39" xfId="2" applyNumberFormat="1" applyFont="1" applyFill="1" applyBorder="1" applyAlignment="1" applyProtection="1">
      <alignment horizontal="center"/>
    </xf>
    <xf numFmtId="171" fontId="47" fillId="0" borderId="0" xfId="0" applyNumberFormat="1" applyFont="1" applyFill="1" applyBorder="1" applyAlignment="1" applyProtection="1">
      <alignment horizontal="center"/>
    </xf>
    <xf numFmtId="0" fontId="47" fillId="0" borderId="82" xfId="0" applyFont="1" applyFill="1" applyBorder="1" applyAlignment="1" applyProtection="1"/>
    <xf numFmtId="0" fontId="47" fillId="0" borderId="77" xfId="0" applyFont="1" applyFill="1" applyBorder="1" applyAlignment="1" applyProtection="1"/>
    <xf numFmtId="0" fontId="46" fillId="0" borderId="0" xfId="0" applyFont="1" applyFill="1" applyAlignment="1" applyProtection="1">
      <alignment horizontal="left"/>
    </xf>
    <xf numFmtId="165" fontId="47" fillId="0" borderId="0" xfId="0" applyNumberFormat="1" applyFont="1" applyFill="1" applyBorder="1" applyAlignment="1" applyProtection="1">
      <alignment horizontal="center"/>
      <protection locked="0"/>
    </xf>
    <xf numFmtId="0" fontId="46" fillId="12" borderId="2" xfId="0" applyFont="1" applyFill="1" applyBorder="1" applyAlignment="1" applyProtection="1">
      <alignment horizontal="center"/>
    </xf>
    <xf numFmtId="0" fontId="47" fillId="12" borderId="2" xfId="0" applyFont="1" applyFill="1" applyBorder="1" applyAlignment="1" applyProtection="1">
      <alignment horizontal="center"/>
    </xf>
    <xf numFmtId="165" fontId="46" fillId="2" borderId="2" xfId="0" applyNumberFormat="1" applyFont="1" applyFill="1" applyBorder="1" applyAlignment="1" applyProtection="1">
      <alignment horizontal="center"/>
    </xf>
    <xf numFmtId="171" fontId="46" fillId="0" borderId="2" xfId="2" applyNumberFormat="1" applyFont="1" applyFill="1" applyBorder="1" applyAlignment="1" applyProtection="1"/>
    <xf numFmtId="171" fontId="47" fillId="0" borderId="2" xfId="2" applyNumberFormat="1" applyFont="1" applyFill="1" applyBorder="1" applyAlignment="1" applyProtection="1"/>
    <xf numFmtId="44" fontId="46" fillId="0" borderId="0" xfId="2" applyFont="1" applyFill="1" applyBorder="1" applyAlignment="1" applyProtection="1"/>
    <xf numFmtId="0" fontId="46" fillId="0" borderId="0" xfId="0" applyFont="1" applyFill="1" applyBorder="1" applyAlignment="1" applyProtection="1">
      <alignment horizontal="center" textRotation="90"/>
    </xf>
    <xf numFmtId="0" fontId="46" fillId="0" borderId="88" xfId="0" applyFont="1" applyFill="1" applyBorder="1" applyAlignment="1" applyProtection="1">
      <alignment vertical="center" textRotation="90"/>
    </xf>
    <xf numFmtId="0" fontId="46" fillId="0" borderId="0" xfId="0" applyFont="1" applyFill="1" applyBorder="1" applyAlignment="1" applyProtection="1">
      <alignment vertical="center" textRotation="90"/>
    </xf>
    <xf numFmtId="0" fontId="51" fillId="0" borderId="0" xfId="0" applyFont="1" applyAlignment="1" applyProtection="1">
      <alignment horizontal="center"/>
    </xf>
    <xf numFmtId="0" fontId="48" fillId="0" borderId="59" xfId="0" applyFont="1" applyBorder="1" applyAlignment="1" applyProtection="1"/>
    <xf numFmtId="0" fontId="48" fillId="0" borderId="60" xfId="0" applyFont="1" applyBorder="1" applyAlignment="1" applyProtection="1"/>
    <xf numFmtId="0" fontId="46" fillId="0" borderId="56" xfId="0" applyFont="1" applyBorder="1" applyAlignment="1" applyProtection="1">
      <alignment horizontal="right"/>
    </xf>
    <xf numFmtId="183" fontId="46" fillId="0" borderId="56" xfId="0" applyNumberFormat="1" applyFont="1" applyBorder="1" applyAlignment="1" applyProtection="1">
      <alignment horizontal="center"/>
    </xf>
    <xf numFmtId="184" fontId="46" fillId="0" borderId="0" xfId="0" applyNumberFormat="1" applyFont="1" applyBorder="1" applyAlignment="1" applyProtection="1">
      <alignment horizontal="center"/>
    </xf>
    <xf numFmtId="0" fontId="46" fillId="0" borderId="0" xfId="0" quotePrefix="1" applyFont="1" applyBorder="1" applyAlignment="1" applyProtection="1">
      <alignment horizontal="center"/>
    </xf>
    <xf numFmtId="0" fontId="47" fillId="0" borderId="50" xfId="0" applyFont="1" applyFill="1" applyBorder="1" applyAlignment="1" applyProtection="1">
      <alignment horizontal="left"/>
    </xf>
    <xf numFmtId="165" fontId="46" fillId="0" borderId="2" xfId="0" applyNumberFormat="1" applyFont="1" applyFill="1" applyBorder="1" applyAlignment="1" applyProtection="1">
      <alignment horizontal="center"/>
    </xf>
    <xf numFmtId="165" fontId="47" fillId="0" borderId="50" xfId="0" applyNumberFormat="1" applyFont="1" applyFill="1" applyBorder="1" applyAlignment="1" applyProtection="1">
      <alignment horizontal="center"/>
    </xf>
    <xf numFmtId="44" fontId="46" fillId="0" borderId="0" xfId="2" applyFont="1" applyFill="1" applyAlignment="1" applyProtection="1"/>
    <xf numFmtId="0" fontId="46" fillId="0" borderId="92" xfId="0" applyFont="1" applyBorder="1" applyAlignment="1" applyProtection="1">
      <alignment horizontal="right"/>
    </xf>
    <xf numFmtId="165" fontId="47" fillId="0" borderId="10" xfId="0" applyNumberFormat="1" applyFont="1" applyFill="1" applyBorder="1" applyAlignment="1" applyProtection="1">
      <alignment horizontal="center"/>
    </xf>
    <xf numFmtId="0" fontId="46" fillId="0" borderId="53" xfId="0" applyFont="1" applyBorder="1" applyAlignment="1" applyProtection="1"/>
    <xf numFmtId="0" fontId="46" fillId="0" borderId="53" xfId="0" applyFont="1" applyBorder="1" applyAlignment="1" applyProtection="1">
      <alignment horizontal="right"/>
    </xf>
    <xf numFmtId="0" fontId="46" fillId="0" borderId="1" xfId="0" applyFont="1" applyBorder="1" applyAlignment="1" applyProtection="1">
      <alignment horizontal="right"/>
    </xf>
    <xf numFmtId="165" fontId="47" fillId="0" borderId="1" xfId="0" applyNumberFormat="1" applyFont="1" applyFill="1" applyBorder="1" applyAlignment="1" applyProtection="1">
      <alignment horizontal="center"/>
    </xf>
    <xf numFmtId="0" fontId="46" fillId="0" borderId="1" xfId="0" applyFont="1" applyBorder="1" applyAlignment="1" applyProtection="1"/>
    <xf numFmtId="1" fontId="46" fillId="0" borderId="50" xfId="0" applyNumberFormat="1" applyFont="1" applyBorder="1" applyAlignment="1" applyProtection="1">
      <alignment horizontal="center"/>
    </xf>
    <xf numFmtId="0" fontId="46" fillId="3" borderId="49" xfId="0" quotePrefix="1" applyFont="1" applyFill="1" applyBorder="1" applyAlignment="1" applyProtection="1">
      <alignment vertical="center"/>
    </xf>
    <xf numFmtId="0" fontId="46" fillId="3" borderId="49" xfId="0" applyFont="1" applyFill="1" applyBorder="1" applyAlignment="1" applyProtection="1">
      <alignment vertical="center"/>
    </xf>
    <xf numFmtId="0" fontId="46" fillId="0" borderId="51" xfId="0" applyFont="1" applyFill="1" applyBorder="1" applyAlignment="1" applyProtection="1"/>
    <xf numFmtId="0" fontId="46" fillId="3" borderId="7" xfId="0" quotePrefix="1" applyFont="1" applyFill="1" applyBorder="1" applyAlignment="1" applyProtection="1">
      <alignment vertical="center"/>
    </xf>
    <xf numFmtId="0" fontId="46" fillId="3" borderId="7" xfId="0" applyFont="1" applyFill="1" applyBorder="1" applyAlignment="1" applyProtection="1">
      <alignment vertical="center"/>
    </xf>
    <xf numFmtId="0" fontId="46" fillId="3" borderId="8" xfId="0" applyFont="1" applyFill="1" applyBorder="1" applyAlignment="1" applyProtection="1">
      <alignment horizontal="right"/>
    </xf>
    <xf numFmtId="1" fontId="46" fillId="3" borderId="48" xfId="0" applyNumberFormat="1" applyFont="1" applyFill="1" applyBorder="1" applyAlignment="1" applyProtection="1">
      <alignment horizontal="center"/>
    </xf>
    <xf numFmtId="178" fontId="46" fillId="0" borderId="48" xfId="0" applyNumberFormat="1" applyFont="1" applyBorder="1" applyAlignment="1" applyProtection="1">
      <alignment horizontal="center"/>
    </xf>
    <xf numFmtId="0" fontId="46" fillId="2" borderId="2" xfId="0" applyFont="1" applyFill="1" applyBorder="1" applyAlignment="1" applyProtection="1">
      <alignment horizontal="center"/>
    </xf>
    <xf numFmtId="165" fontId="46" fillId="0" borderId="2" xfId="0" applyNumberFormat="1" applyFont="1" applyBorder="1" applyAlignment="1" applyProtection="1">
      <alignment horizontal="center"/>
    </xf>
    <xf numFmtId="179" fontId="46" fillId="0" borderId="2" xfId="0" applyNumberFormat="1" applyFont="1" applyBorder="1" applyAlignment="1" applyProtection="1">
      <alignment horizontal="center"/>
    </xf>
    <xf numFmtId="178" fontId="46" fillId="0" borderId="2" xfId="0" applyNumberFormat="1" applyFont="1" applyBorder="1" applyAlignment="1" applyProtection="1">
      <alignment horizontal="center"/>
    </xf>
    <xf numFmtId="0" fontId="46" fillId="0" borderId="89" xfId="0" applyFont="1" applyFill="1" applyBorder="1" applyAlignment="1" applyProtection="1">
      <alignment vertical="center" textRotation="90"/>
    </xf>
    <xf numFmtId="0" fontId="46" fillId="0" borderId="53" xfId="0" applyFont="1" applyFill="1" applyBorder="1" applyAlignment="1" applyProtection="1">
      <alignment vertical="center" textRotation="90"/>
    </xf>
    <xf numFmtId="0" fontId="46" fillId="3" borderId="54" xfId="0" applyFont="1" applyFill="1" applyBorder="1" applyAlignment="1" applyProtection="1">
      <alignment horizontal="right"/>
    </xf>
    <xf numFmtId="1" fontId="46" fillId="3" borderId="52" xfId="0" applyNumberFormat="1" applyFont="1" applyFill="1" applyBorder="1" applyAlignment="1" applyProtection="1">
      <alignment horizontal="center"/>
    </xf>
    <xf numFmtId="180" fontId="46" fillId="3" borderId="85" xfId="0" applyNumberFormat="1" applyFont="1" applyFill="1" applyBorder="1" applyAlignment="1" applyProtection="1"/>
    <xf numFmtId="180" fontId="46" fillId="3" borderId="52" xfId="0" applyNumberFormat="1" applyFont="1" applyFill="1" applyBorder="1" applyAlignment="1" applyProtection="1"/>
    <xf numFmtId="0" fontId="46" fillId="0" borderId="53" xfId="0" applyFont="1" applyFill="1" applyBorder="1" applyAlignment="1" applyProtection="1"/>
    <xf numFmtId="0" fontId="46" fillId="0" borderId="54" xfId="0" applyFont="1" applyFill="1" applyBorder="1" applyAlignment="1" applyProtection="1"/>
    <xf numFmtId="0" fontId="47" fillId="0" borderId="55" xfId="0" applyFont="1" applyFill="1" applyBorder="1" applyAlignment="1" applyProtection="1">
      <alignment horizontal="left"/>
    </xf>
    <xf numFmtId="0" fontId="46" fillId="0" borderId="86" xfId="0" applyFont="1" applyBorder="1" applyAlignment="1" applyProtection="1">
      <alignment textRotation="90"/>
    </xf>
    <xf numFmtId="0" fontId="46" fillId="0" borderId="72" xfId="0" applyFont="1" applyBorder="1" applyAlignment="1" applyProtection="1"/>
    <xf numFmtId="0" fontId="46" fillId="3" borderId="6" xfId="0" applyFont="1" applyFill="1" applyBorder="1" applyAlignment="1" applyProtection="1"/>
    <xf numFmtId="0" fontId="46" fillId="3" borderId="48" xfId="0" applyFont="1" applyFill="1" applyBorder="1" applyAlignment="1" applyProtection="1"/>
    <xf numFmtId="0" fontId="46" fillId="3" borderId="2" xfId="0" applyFont="1" applyFill="1" applyBorder="1" applyAlignment="1" applyProtection="1">
      <alignment horizontal="center"/>
    </xf>
    <xf numFmtId="0" fontId="47" fillId="3" borderId="2" xfId="0" applyFont="1" applyFill="1" applyBorder="1" applyAlignment="1" applyProtection="1">
      <alignment horizontal="center"/>
    </xf>
    <xf numFmtId="0" fontId="46" fillId="0" borderId="7" xfId="0" applyFont="1" applyBorder="1" applyAlignment="1" applyProtection="1">
      <alignment horizontal="center"/>
    </xf>
    <xf numFmtId="0" fontId="46" fillId="0" borderId="72" xfId="0" applyFont="1" applyBorder="1" applyAlignment="1" applyProtection="1">
      <alignment horizontal="center"/>
    </xf>
    <xf numFmtId="0" fontId="46" fillId="0" borderId="6" xfId="0" applyFont="1" applyBorder="1" applyAlignment="1" applyProtection="1"/>
    <xf numFmtId="171" fontId="46" fillId="0" borderId="2" xfId="2" applyNumberFormat="1" applyFont="1" applyFill="1" applyBorder="1" applyAlignment="1" applyProtection="1">
      <alignment horizontal="center"/>
    </xf>
    <xf numFmtId="0" fontId="46" fillId="0" borderId="9" xfId="0" applyFont="1" applyFill="1" applyBorder="1" applyAlignment="1" applyProtection="1">
      <alignment textRotation="90"/>
    </xf>
    <xf numFmtId="1" fontId="46" fillId="2" borderId="2" xfId="0" applyNumberFormat="1" applyFont="1" applyFill="1" applyBorder="1" applyAlignment="1" applyProtection="1">
      <alignment horizontal="center"/>
    </xf>
    <xf numFmtId="0" fontId="46" fillId="0" borderId="12" xfId="0" applyFont="1" applyBorder="1" applyAlignment="1" applyProtection="1"/>
    <xf numFmtId="0" fontId="46" fillId="12" borderId="6" xfId="0" applyFont="1" applyFill="1" applyBorder="1" applyAlignment="1" applyProtection="1"/>
    <xf numFmtId="0" fontId="46" fillId="12" borderId="48" xfId="0" applyFont="1" applyFill="1" applyBorder="1" applyAlignment="1" applyProtection="1"/>
    <xf numFmtId="0" fontId="46" fillId="0" borderId="43" xfId="0" applyFont="1" applyFill="1" applyBorder="1" applyAlignment="1" applyProtection="1">
      <alignment textRotation="90"/>
    </xf>
    <xf numFmtId="0" fontId="46" fillId="0" borderId="6" xfId="0" applyFont="1" applyFill="1" applyBorder="1" applyAlignment="1" applyProtection="1">
      <alignment horizontal="center"/>
    </xf>
    <xf numFmtId="0" fontId="46" fillId="0" borderId="6" xfId="0" applyFont="1" applyBorder="1" applyAlignment="1" applyProtection="1">
      <alignment horizontal="left"/>
    </xf>
    <xf numFmtId="171" fontId="49" fillId="2" borderId="2" xfId="2" applyNumberFormat="1" applyFont="1" applyFill="1" applyBorder="1" applyAlignment="1" applyProtection="1">
      <alignment horizontal="left"/>
    </xf>
    <xf numFmtId="165" fontId="46" fillId="2" borderId="2" xfId="2" applyNumberFormat="1" applyFont="1" applyFill="1" applyBorder="1" applyAlignment="1" applyProtection="1">
      <alignment horizontal="center"/>
    </xf>
    <xf numFmtId="0" fontId="52" fillId="2" borderId="0" xfId="0" applyFont="1" applyFill="1" applyBorder="1" applyAlignment="1" applyProtection="1">
      <alignment horizontal="center"/>
    </xf>
    <xf numFmtId="165" fontId="46" fillId="8" borderId="2" xfId="0" applyNumberFormat="1" applyFont="1" applyFill="1" applyBorder="1" applyAlignment="1" applyProtection="1">
      <alignment horizontal="center"/>
    </xf>
    <xf numFmtId="165" fontId="46" fillId="0" borderId="2" xfId="2" applyNumberFormat="1" applyFont="1" applyFill="1" applyBorder="1" applyAlignment="1" applyProtection="1">
      <alignment horizontal="center"/>
    </xf>
    <xf numFmtId="186" fontId="46" fillId="2" borderId="2" xfId="2" applyNumberFormat="1" applyFont="1" applyFill="1" applyBorder="1" applyAlignment="1" applyProtection="1">
      <alignment horizontal="center"/>
    </xf>
    <xf numFmtId="176" fontId="46" fillId="2" borderId="2" xfId="2" applyNumberFormat="1" applyFont="1" applyFill="1" applyBorder="1" applyAlignment="1" applyProtection="1">
      <alignment horizontal="center"/>
    </xf>
    <xf numFmtId="0" fontId="46" fillId="0" borderId="48" xfId="0" applyFont="1" applyBorder="1" applyAlignment="1" applyProtection="1">
      <alignment horizontal="left"/>
    </xf>
    <xf numFmtId="181" fontId="46" fillId="2" borderId="2" xfId="2" applyNumberFormat="1" applyFont="1" applyFill="1" applyBorder="1" applyAlignment="1" applyProtection="1">
      <alignment horizontal="center"/>
    </xf>
    <xf numFmtId="175" fontId="46" fillId="0" borderId="49" xfId="2" applyNumberFormat="1" applyFont="1" applyFill="1" applyBorder="1" applyAlignment="1" applyProtection="1">
      <alignment horizontal="center"/>
    </xf>
    <xf numFmtId="1" fontId="46" fillId="2" borderId="2" xfId="2" applyNumberFormat="1" applyFont="1" applyFill="1" applyBorder="1" applyAlignment="1" applyProtection="1">
      <alignment horizontal="center"/>
    </xf>
    <xf numFmtId="175" fontId="46" fillId="0" borderId="2" xfId="2" applyNumberFormat="1" applyFont="1" applyFill="1" applyBorder="1" applyAlignment="1" applyProtection="1">
      <alignment horizontal="center"/>
    </xf>
    <xf numFmtId="171" fontId="46" fillId="0" borderId="0" xfId="2" applyNumberFormat="1" applyFont="1" applyFill="1" applyBorder="1" applyAlignment="1" applyProtection="1">
      <alignment horizontal="center"/>
    </xf>
    <xf numFmtId="0" fontId="46" fillId="0" borderId="87" xfId="0" applyFont="1" applyBorder="1" applyAlignment="1" applyProtection="1">
      <alignment vertical="center"/>
    </xf>
    <xf numFmtId="0" fontId="46" fillId="0" borderId="12" xfId="0" applyFont="1" applyBorder="1" applyAlignment="1" applyProtection="1">
      <alignment vertical="center"/>
    </xf>
    <xf numFmtId="0" fontId="46" fillId="0" borderId="11" xfId="0" applyFont="1" applyBorder="1" applyAlignment="1" applyProtection="1">
      <alignment vertical="center"/>
    </xf>
    <xf numFmtId="0" fontId="46" fillId="0" borderId="72" xfId="0" applyFont="1" applyBorder="1" applyAlignment="1" applyProtection="1">
      <alignment vertical="center"/>
    </xf>
    <xf numFmtId="0" fontId="46" fillId="0" borderId="1" xfId="0" applyFont="1" applyBorder="1" applyAlignment="1" applyProtection="1">
      <alignment vertical="center"/>
    </xf>
    <xf numFmtId="0" fontId="46" fillId="0" borderId="43" xfId="0" applyFont="1" applyBorder="1" applyAlignment="1" applyProtection="1">
      <alignment vertical="center"/>
    </xf>
    <xf numFmtId="171" fontId="46" fillId="0" borderId="49" xfId="0" applyNumberFormat="1" applyFont="1" applyBorder="1" applyAlignment="1" applyProtection="1">
      <alignment vertical="center"/>
    </xf>
    <xf numFmtId="171" fontId="46" fillId="0" borderId="7" xfId="0" applyNumberFormat="1" applyFont="1" applyBorder="1" applyAlignment="1" applyProtection="1">
      <alignment vertical="center"/>
    </xf>
    <xf numFmtId="0" fontId="46" fillId="0" borderId="8" xfId="0" applyFont="1" applyBorder="1" applyAlignment="1" applyProtection="1"/>
    <xf numFmtId="171" fontId="46" fillId="0" borderId="2" xfId="0" applyNumberFormat="1" applyFont="1" applyBorder="1" applyAlignment="1" applyProtection="1"/>
    <xf numFmtId="9" fontId="46" fillId="0" borderId="2" xfId="4" applyNumberFormat="1" applyFont="1" applyBorder="1" applyAlignment="1" applyProtection="1">
      <alignment horizontal="center"/>
    </xf>
    <xf numFmtId="171" fontId="47" fillId="0" borderId="2" xfId="0" applyNumberFormat="1" applyFont="1" applyFill="1" applyBorder="1" applyAlignment="1" applyProtection="1"/>
    <xf numFmtId="171" fontId="46" fillId="0" borderId="2" xfId="3" applyNumberFormat="1" applyFont="1" applyBorder="1" applyAlignment="1" applyProtection="1"/>
    <xf numFmtId="171" fontId="46" fillId="0" borderId="2" xfId="2" applyNumberFormat="1" applyFont="1" applyBorder="1" applyAlignment="1" applyProtection="1"/>
    <xf numFmtId="0" fontId="46" fillId="0" borderId="13" xfId="0" applyFont="1" applyBorder="1" applyAlignment="1" applyProtection="1">
      <alignment horizontal="left"/>
    </xf>
    <xf numFmtId="171" fontId="46" fillId="0" borderId="12" xfId="0" applyNumberFormat="1" applyFont="1" applyBorder="1" applyAlignment="1" applyProtection="1"/>
    <xf numFmtId="9" fontId="46" fillId="0" borderId="0" xfId="4" applyNumberFormat="1" applyFont="1" applyBorder="1" applyAlignment="1" applyProtection="1">
      <alignment horizontal="center"/>
    </xf>
    <xf numFmtId="171" fontId="46" fillId="0" borderId="14" xfId="0" applyNumberFormat="1" applyFont="1" applyBorder="1" applyAlignment="1" applyProtection="1"/>
    <xf numFmtId="9" fontId="46" fillId="0" borderId="0" xfId="0" applyNumberFormat="1" applyFont="1" applyBorder="1" applyAlignment="1" applyProtection="1">
      <alignment horizontal="center"/>
    </xf>
    <xf numFmtId="171" fontId="46" fillId="0" borderId="53" xfId="0" applyNumberFormat="1" applyFont="1" applyBorder="1" applyAlignment="1" applyProtection="1"/>
    <xf numFmtId="171" fontId="46" fillId="0" borderId="0" xfId="0" applyNumberFormat="1" applyFont="1" applyBorder="1" applyAlignment="1" applyProtection="1">
      <alignment horizontal="center"/>
    </xf>
    <xf numFmtId="171" fontId="46" fillId="0" borderId="0" xfId="0" applyNumberFormat="1" applyFont="1" applyBorder="1" applyAlignment="1" applyProtection="1"/>
    <xf numFmtId="171" fontId="46" fillId="0" borderId="0" xfId="0" applyNumberFormat="1" applyFont="1" applyAlignment="1" applyProtection="1"/>
    <xf numFmtId="10" fontId="46" fillId="0" borderId="0" xfId="4" applyNumberFormat="1" applyFont="1" applyBorder="1" applyAlignment="1" applyProtection="1">
      <alignment horizontal="center"/>
    </xf>
    <xf numFmtId="0" fontId="46" fillId="3" borderId="82" xfId="0" applyFont="1" applyFill="1" applyBorder="1" applyAlignment="1" applyProtection="1"/>
    <xf numFmtId="0" fontId="46" fillId="3" borderId="76" xfId="0" applyFont="1" applyFill="1" applyBorder="1" applyAlignment="1" applyProtection="1"/>
    <xf numFmtId="0" fontId="46" fillId="3" borderId="77" xfId="0" applyFont="1" applyFill="1" applyBorder="1" applyAlignment="1" applyProtection="1"/>
    <xf numFmtId="168" fontId="46" fillId="0" borderId="94" xfId="2" applyNumberFormat="1" applyFont="1" applyFill="1" applyBorder="1" applyAlignment="1" applyProtection="1"/>
    <xf numFmtId="168" fontId="46" fillId="0" borderId="77" xfId="2" applyNumberFormat="1" applyFont="1" applyFill="1" applyBorder="1" applyAlignment="1" applyProtection="1"/>
    <xf numFmtId="177" fontId="46" fillId="9" borderId="17" xfId="0" applyNumberFormat="1" applyFont="1" applyFill="1" applyBorder="1" applyAlignment="1" applyProtection="1"/>
    <xf numFmtId="177" fontId="46" fillId="9" borderId="83" xfId="0" applyNumberFormat="1" applyFont="1" applyFill="1" applyBorder="1" applyAlignment="1" applyProtection="1"/>
    <xf numFmtId="177" fontId="46" fillId="9" borderId="79" xfId="0" applyNumberFormat="1" applyFont="1" applyFill="1" applyBorder="1" applyAlignment="1" applyProtection="1"/>
    <xf numFmtId="171" fontId="46" fillId="9" borderId="63" xfId="0" applyNumberFormat="1" applyFont="1" applyFill="1" applyBorder="1" applyAlignment="1" applyProtection="1">
      <alignment horizontal="center"/>
    </xf>
    <xf numFmtId="4" fontId="46" fillId="0" borderId="0" xfId="0" applyNumberFormat="1" applyFont="1" applyBorder="1" applyAlignment="1" applyProtection="1"/>
    <xf numFmtId="0" fontId="47" fillId="3" borderId="15" xfId="0" applyFont="1" applyFill="1" applyBorder="1" applyAlignment="1" applyProtection="1">
      <alignment horizontal="center"/>
    </xf>
    <xf numFmtId="0" fontId="47" fillId="3" borderId="16" xfId="0" applyFont="1" applyFill="1" applyBorder="1" applyAlignment="1" applyProtection="1">
      <alignment horizontal="center"/>
    </xf>
    <xf numFmtId="0" fontId="47" fillId="3" borderId="17" xfId="0" applyFont="1" applyFill="1" applyBorder="1" applyAlignment="1" applyProtection="1">
      <alignment horizontal="center"/>
    </xf>
    <xf numFmtId="177" fontId="46" fillId="8" borderId="78" xfId="0" applyNumberFormat="1" applyFont="1" applyFill="1" applyBorder="1" applyAlignment="1" applyProtection="1"/>
    <xf numFmtId="177" fontId="46" fillId="8" borderId="8" xfId="0" applyNumberFormat="1" applyFont="1" applyFill="1" applyBorder="1" applyAlignment="1" applyProtection="1"/>
    <xf numFmtId="177" fontId="46" fillId="8" borderId="48" xfId="0" applyNumberFormat="1" applyFont="1" applyFill="1" applyBorder="1" applyAlignment="1" applyProtection="1"/>
    <xf numFmtId="171" fontId="47" fillId="8" borderId="64" xfId="0" quotePrefix="1" applyNumberFormat="1" applyFont="1" applyFill="1" applyBorder="1" applyAlignment="1" applyProtection="1">
      <alignment horizontal="center"/>
    </xf>
    <xf numFmtId="0" fontId="47" fillId="3" borderId="18" xfId="0" applyFont="1" applyFill="1" applyBorder="1" applyAlignment="1" applyProtection="1">
      <alignment horizontal="center"/>
    </xf>
    <xf numFmtId="171" fontId="47" fillId="0" borderId="19" xfId="0" applyNumberFormat="1" applyFont="1" applyFill="1" applyBorder="1" applyAlignment="1" applyProtection="1">
      <alignment horizontal="center"/>
    </xf>
    <xf numFmtId="171" fontId="47" fillId="0" borderId="20" xfId="0" applyNumberFormat="1" applyFont="1" applyFill="1" applyBorder="1" applyAlignment="1" applyProtection="1">
      <alignment horizontal="center"/>
    </xf>
    <xf numFmtId="171" fontId="47" fillId="0" borderId="21" xfId="0" applyNumberFormat="1" applyFont="1" applyFill="1" applyBorder="1" applyAlignment="1" applyProtection="1">
      <alignment horizontal="center"/>
    </xf>
    <xf numFmtId="0" fontId="47" fillId="10" borderId="20" xfId="0" applyFont="1" applyFill="1" applyBorder="1" applyAlignment="1" applyProtection="1">
      <alignment vertical="center"/>
    </xf>
    <xf numFmtId="0" fontId="47" fillId="10" borderId="73" xfId="0" applyFont="1" applyFill="1" applyBorder="1" applyAlignment="1" applyProtection="1">
      <alignment vertical="center"/>
    </xf>
    <xf numFmtId="0" fontId="47" fillId="10" borderId="74" xfId="0" applyFont="1" applyFill="1" applyBorder="1" applyAlignment="1" applyProtection="1">
      <alignment vertical="center"/>
    </xf>
    <xf numFmtId="171" fontId="47" fillId="10" borderId="65" xfId="0" applyNumberFormat="1" applyFont="1" applyFill="1" applyBorder="1" applyAlignment="1" applyProtection="1">
      <alignment horizontal="center"/>
    </xf>
    <xf numFmtId="0" fontId="47" fillId="3" borderId="22" xfId="0" applyFont="1" applyFill="1" applyBorder="1" applyAlignment="1" applyProtection="1">
      <alignment horizontal="center"/>
    </xf>
    <xf numFmtId="0" fontId="47" fillId="2" borderId="17" xfId="0" applyFont="1" applyFill="1" applyBorder="1" applyAlignment="1" applyProtection="1">
      <alignment vertical="center"/>
    </xf>
    <xf numFmtId="0" fontId="47" fillId="2" borderId="79" xfId="0" applyFont="1" applyFill="1" applyBorder="1" applyAlignment="1" applyProtection="1">
      <alignment vertical="center"/>
    </xf>
    <xf numFmtId="0" fontId="47" fillId="2" borderId="70" xfId="0" applyFont="1" applyFill="1" applyBorder="1" applyAlignment="1" applyProtection="1">
      <alignment horizontal="center" vertical="center"/>
    </xf>
    <xf numFmtId="0" fontId="47" fillId="2" borderId="63" xfId="0" applyFont="1" applyFill="1" applyBorder="1" applyAlignment="1" applyProtection="1">
      <alignment horizontal="center"/>
    </xf>
    <xf numFmtId="177" fontId="46" fillId="8" borderId="47" xfId="0" applyNumberFormat="1" applyFont="1" applyFill="1" applyBorder="1" applyAlignment="1" applyProtection="1">
      <alignment horizontal="center"/>
    </xf>
    <xf numFmtId="171" fontId="47" fillId="0" borderId="23" xfId="0" applyNumberFormat="1" applyFont="1" applyFill="1" applyBorder="1" applyAlignment="1" applyProtection="1">
      <alignment horizontal="center"/>
    </xf>
    <xf numFmtId="0" fontId="47" fillId="9" borderId="20" xfId="0" applyFont="1" applyFill="1" applyBorder="1" applyAlignment="1" applyProtection="1">
      <alignment vertical="center"/>
    </xf>
    <xf numFmtId="0" fontId="47" fillId="9" borderId="74" xfId="0" applyFont="1" applyFill="1" applyBorder="1" applyAlignment="1" applyProtection="1">
      <alignment vertical="center"/>
    </xf>
    <xf numFmtId="171" fontId="47" fillId="9" borderId="80" xfId="0" applyNumberFormat="1" applyFont="1" applyFill="1" applyBorder="1" applyAlignment="1" applyProtection="1"/>
    <xf numFmtId="171" fontId="47" fillId="9" borderId="81" xfId="0" applyNumberFormat="1" applyFont="1" applyFill="1" applyBorder="1" applyAlignment="1" applyProtection="1"/>
    <xf numFmtId="177" fontId="46" fillId="8" borderId="82" xfId="0" applyNumberFormat="1" applyFont="1" applyFill="1" applyBorder="1" applyAlignment="1" applyProtection="1"/>
    <xf numFmtId="177" fontId="46" fillId="8" borderId="77" xfId="0" applyNumberFormat="1" applyFont="1" applyFill="1" applyBorder="1" applyAlignment="1" applyProtection="1"/>
    <xf numFmtId="177" fontId="46" fillId="9" borderId="82" xfId="0" applyNumberFormat="1" applyFont="1" applyFill="1" applyBorder="1" applyAlignment="1" applyProtection="1"/>
    <xf numFmtId="177" fontId="46" fillId="9" borderId="77" xfId="0" applyNumberFormat="1" applyFont="1" applyFill="1" applyBorder="1" applyAlignment="1" applyProtection="1"/>
    <xf numFmtId="9" fontId="48" fillId="9" borderId="38" xfId="4" applyFont="1" applyFill="1" applyBorder="1" applyAlignment="1" applyProtection="1">
      <alignment horizontal="center" vertical="center"/>
    </xf>
    <xf numFmtId="0" fontId="47" fillId="8" borderId="82" xfId="0" applyFont="1" applyFill="1" applyBorder="1" applyAlignment="1" applyProtection="1">
      <alignment vertical="center"/>
    </xf>
    <xf numFmtId="0" fontId="47" fillId="8" borderId="77" xfId="0" applyFont="1" applyFill="1" applyBorder="1" applyAlignment="1" applyProtection="1">
      <alignment vertical="center"/>
    </xf>
    <xf numFmtId="9" fontId="53" fillId="8" borderId="38" xfId="4" applyFont="1" applyFill="1" applyBorder="1" applyAlignment="1" applyProtection="1">
      <alignment horizontal="center"/>
    </xf>
    <xf numFmtId="0" fontId="54" fillId="0" borderId="0" xfId="5" applyFont="1" applyAlignment="1"/>
    <xf numFmtId="0" fontId="54" fillId="0" borderId="1" xfId="5" applyFont="1" applyBorder="1" applyAlignment="1">
      <alignment vertical="center"/>
    </xf>
    <xf numFmtId="164" fontId="46" fillId="0" borderId="1" xfId="0" applyNumberFormat="1" applyFont="1" applyFill="1" applyBorder="1" applyAlignment="1" applyProtection="1">
      <alignment horizontal="center"/>
    </xf>
    <xf numFmtId="0" fontId="46" fillId="0" borderId="62" xfId="0" applyFont="1" applyFill="1" applyBorder="1" applyAlignment="1" applyProtection="1">
      <alignment horizontal="center"/>
    </xf>
    <xf numFmtId="0" fontId="47" fillId="0" borderId="0" xfId="0" applyFont="1" applyFill="1" applyAlignment="1" applyProtection="1">
      <alignment horizontal="right"/>
    </xf>
    <xf numFmtId="0" fontId="47" fillId="0" borderId="44" xfId="0" applyFont="1" applyFill="1" applyBorder="1" applyAlignment="1" applyProtection="1">
      <alignment horizontal="center"/>
    </xf>
    <xf numFmtId="0" fontId="46" fillId="0" borderId="0" xfId="0" applyFont="1" applyAlignment="1" applyProtection="1">
      <alignment textRotation="90"/>
    </xf>
    <xf numFmtId="2" fontId="46" fillId="0" borderId="1" xfId="0" applyNumberFormat="1" applyFont="1" applyFill="1" applyBorder="1" applyAlignment="1" applyProtection="1">
      <alignment horizontal="center"/>
    </xf>
    <xf numFmtId="0" fontId="47" fillId="0" borderId="1" xfId="0" applyFont="1" applyFill="1" applyBorder="1" applyAlignment="1" applyProtection="1">
      <alignment horizontal="center"/>
    </xf>
    <xf numFmtId="166" fontId="47" fillId="0" borderId="1" xfId="0" applyNumberFormat="1" applyFont="1" applyFill="1" applyBorder="1" applyAlignment="1" applyProtection="1">
      <alignment horizontal="center"/>
    </xf>
    <xf numFmtId="173" fontId="46" fillId="0" borderId="44" xfId="0" applyNumberFormat="1" applyFont="1" applyFill="1" applyBorder="1" applyAlignment="1" applyProtection="1">
      <alignment horizontal="center"/>
    </xf>
    <xf numFmtId="1" fontId="46" fillId="0" borderId="1" xfId="0" applyNumberFormat="1" applyFont="1" applyFill="1" applyBorder="1" applyAlignment="1" applyProtection="1">
      <alignment horizontal="center"/>
    </xf>
    <xf numFmtId="0" fontId="46" fillId="0" borderId="61" xfId="0" applyFont="1" applyFill="1" applyBorder="1" applyAlignment="1" applyProtection="1">
      <alignment horizontal="center"/>
    </xf>
    <xf numFmtId="0" fontId="54" fillId="0" borderId="0" xfId="5" applyFont="1" applyAlignment="1">
      <alignment horizontal="left"/>
    </xf>
    <xf numFmtId="0" fontId="54" fillId="0" borderId="84" xfId="5" applyFont="1" applyFill="1" applyBorder="1" applyAlignment="1"/>
    <xf numFmtId="0" fontId="54" fillId="0" borderId="0" xfId="5" applyFont="1" applyFill="1" applyBorder="1" applyAlignment="1">
      <alignment horizontal="center"/>
    </xf>
    <xf numFmtId="0" fontId="54" fillId="0" borderId="9" xfId="5" applyFont="1" applyFill="1" applyBorder="1" applyAlignment="1">
      <alignment horizontal="center"/>
    </xf>
    <xf numFmtId="0" fontId="54" fillId="0" borderId="13" xfId="5" applyFont="1" applyBorder="1" applyAlignment="1"/>
    <xf numFmtId="0" fontId="54" fillId="0" borderId="0" xfId="5" applyFont="1" applyBorder="1" applyAlignment="1"/>
    <xf numFmtId="0" fontId="54" fillId="0" borderId="13" xfId="5" applyFont="1" applyBorder="1" applyAlignment="1">
      <alignment horizontal="center"/>
    </xf>
    <xf numFmtId="0" fontId="54" fillId="0" borderId="9" xfId="5" applyFont="1" applyBorder="1" applyAlignment="1">
      <alignment horizontal="center"/>
    </xf>
    <xf numFmtId="0" fontId="54" fillId="0" borderId="49" xfId="5" applyFont="1" applyFill="1" applyBorder="1" applyAlignment="1"/>
    <xf numFmtId="0" fontId="54" fillId="0" borderId="12" xfId="5" applyFont="1" applyFill="1" applyBorder="1" applyAlignment="1">
      <alignment horizontal="center"/>
    </xf>
    <xf numFmtId="0" fontId="54" fillId="0" borderId="11" xfId="5" applyFont="1" applyFill="1" applyBorder="1" applyAlignment="1">
      <alignment horizontal="center"/>
    </xf>
    <xf numFmtId="0" fontId="54" fillId="0" borderId="7" xfId="5" applyFont="1" applyFill="1" applyBorder="1" applyAlignment="1"/>
    <xf numFmtId="0" fontId="54" fillId="0" borderId="1" xfId="5" applyFont="1" applyFill="1" applyBorder="1" applyAlignment="1">
      <alignment horizontal="center"/>
    </xf>
    <xf numFmtId="0" fontId="54" fillId="0" borderId="43" xfId="5" applyFont="1" applyFill="1" applyBorder="1" applyAlignment="1">
      <alignment horizontal="center"/>
    </xf>
    <xf numFmtId="0" fontId="54" fillId="0" borderId="0" xfId="5" applyFont="1" applyAlignment="1">
      <alignment horizontal="center"/>
    </xf>
    <xf numFmtId="0" fontId="54" fillId="0" borderId="2" xfId="5" applyFont="1" applyBorder="1" applyAlignment="1"/>
    <xf numFmtId="0" fontId="54" fillId="0" borderId="2" xfId="5" applyFont="1" applyBorder="1" applyAlignment="1">
      <alignment horizontal="center"/>
    </xf>
    <xf numFmtId="0" fontId="54" fillId="0" borderId="49" xfId="5" applyFont="1" applyBorder="1" applyAlignment="1"/>
    <xf numFmtId="0" fontId="54" fillId="14" borderId="87" xfId="5" applyFont="1" applyFill="1" applyBorder="1" applyAlignment="1">
      <alignment horizontal="center"/>
    </xf>
    <xf numFmtId="0" fontId="54" fillId="0" borderId="11" xfId="5" applyFont="1" applyBorder="1" applyAlignment="1">
      <alignment horizontal="center"/>
    </xf>
    <xf numFmtId="0" fontId="54" fillId="0" borderId="84" xfId="5" applyFont="1" applyBorder="1" applyAlignment="1"/>
    <xf numFmtId="20" fontId="54" fillId="14" borderId="13" xfId="5" applyNumberFormat="1" applyFont="1" applyFill="1" applyBorder="1" applyAlignment="1">
      <alignment horizontal="center"/>
    </xf>
    <xf numFmtId="20" fontId="54" fillId="0" borderId="9" xfId="5" applyNumberFormat="1" applyFont="1" applyBorder="1" applyAlignment="1">
      <alignment horizontal="center"/>
    </xf>
    <xf numFmtId="0" fontId="54" fillId="14" borderId="13" xfId="5" applyFont="1" applyFill="1" applyBorder="1" applyAlignment="1">
      <alignment horizontal="center"/>
    </xf>
    <xf numFmtId="0" fontId="54" fillId="0" borderId="7" xfId="5" applyFont="1" applyBorder="1" applyAlignment="1"/>
    <xf numFmtId="0" fontId="54" fillId="14" borderId="72" xfId="5" applyFont="1" applyFill="1" applyBorder="1" applyAlignment="1">
      <alignment horizontal="center"/>
    </xf>
    <xf numFmtId="0" fontId="54" fillId="0" borderId="43" xfId="5" applyFont="1" applyBorder="1" applyAlignment="1">
      <alignment horizontal="center"/>
    </xf>
    <xf numFmtId="0" fontId="54" fillId="0" borderId="9" xfId="5" applyFont="1" applyBorder="1" applyAlignment="1"/>
    <xf numFmtId="0" fontId="54" fillId="0" borderId="6" xfId="5" applyFont="1" applyBorder="1" applyAlignment="1"/>
    <xf numFmtId="0" fontId="54" fillId="0" borderId="8" xfId="5" applyFont="1" applyBorder="1" applyAlignment="1">
      <alignment horizontal="center"/>
    </xf>
    <xf numFmtId="0" fontId="54" fillId="0" borderId="48" xfId="5" applyFont="1" applyBorder="1" applyAlignment="1">
      <alignment horizontal="center"/>
    </xf>
    <xf numFmtId="0" fontId="54" fillId="0" borderId="8" xfId="5" applyFont="1" applyBorder="1" applyAlignment="1"/>
    <xf numFmtId="0" fontId="54" fillId="14" borderId="2" xfId="5" applyFont="1" applyFill="1" applyBorder="1" applyAlignment="1">
      <alignment horizontal="center"/>
    </xf>
    <xf numFmtId="0" fontId="54" fillId="0" borderId="48" xfId="5" applyFont="1" applyBorder="1" applyAlignment="1"/>
    <xf numFmtId="0" fontId="54" fillId="0" borderId="13" xfId="5" applyFont="1" applyFill="1" applyBorder="1" applyAlignment="1"/>
    <xf numFmtId="0" fontId="54" fillId="0" borderId="2" xfId="5" applyFont="1" applyFill="1" applyBorder="1" applyAlignment="1"/>
    <xf numFmtId="0" fontId="54" fillId="0" borderId="49" xfId="5" applyFont="1" applyFill="1" applyBorder="1" applyAlignment="1">
      <alignment horizontal="center"/>
    </xf>
    <xf numFmtId="0" fontId="54" fillId="14" borderId="49" xfId="5" applyFont="1" applyFill="1" applyBorder="1" applyAlignment="1"/>
    <xf numFmtId="0" fontId="54" fillId="14" borderId="11" xfId="5" applyFont="1" applyFill="1" applyBorder="1" applyAlignment="1">
      <alignment horizontal="center"/>
    </xf>
    <xf numFmtId="0" fontId="54" fillId="0" borderId="72" xfId="5" applyFont="1" applyBorder="1" applyAlignment="1"/>
    <xf numFmtId="0" fontId="54" fillId="0" borderId="1" xfId="5" applyFont="1" applyBorder="1" applyAlignment="1"/>
    <xf numFmtId="0" fontId="54" fillId="0" borderId="43" xfId="5" applyFont="1" applyBorder="1" applyAlignment="1"/>
    <xf numFmtId="0" fontId="54" fillId="14" borderId="84" xfId="5" applyFont="1" applyFill="1" applyBorder="1" applyAlignment="1"/>
    <xf numFmtId="0" fontId="54" fillId="14" borderId="9" xfId="5" applyFont="1" applyFill="1" applyBorder="1" applyAlignment="1">
      <alignment horizontal="center"/>
    </xf>
    <xf numFmtId="0" fontId="54" fillId="0" borderId="87" xfId="5" applyFont="1" applyBorder="1" applyAlignment="1"/>
    <xf numFmtId="0" fontId="54" fillId="0" borderId="87" xfId="5" applyFont="1" applyBorder="1" applyAlignment="1">
      <alignment horizontal="center"/>
    </xf>
    <xf numFmtId="0" fontId="54" fillId="14" borderId="7" xfId="5" applyFont="1" applyFill="1" applyBorder="1" applyAlignment="1"/>
    <xf numFmtId="0" fontId="54" fillId="14" borderId="43" xfId="5" applyFont="1" applyFill="1" applyBorder="1" applyAlignment="1">
      <alignment horizontal="center"/>
    </xf>
    <xf numFmtId="0" fontId="54" fillId="14" borderId="12" xfId="5" applyFont="1" applyFill="1" applyBorder="1" applyAlignment="1">
      <alignment horizontal="center"/>
    </xf>
    <xf numFmtId="0" fontId="54" fillId="14" borderId="0" xfId="5" applyFont="1" applyFill="1" applyBorder="1" applyAlignment="1">
      <alignment horizontal="center"/>
    </xf>
    <xf numFmtId="0" fontId="54" fillId="14" borderId="1" xfId="5" applyFont="1" applyFill="1" applyBorder="1" applyAlignment="1">
      <alignment horizontal="center"/>
    </xf>
    <xf numFmtId="0" fontId="54" fillId="0" borderId="0" xfId="5" applyFont="1" applyAlignment="1">
      <alignment horizontal="right"/>
    </xf>
    <xf numFmtId="0" fontId="54" fillId="14" borderId="1" xfId="5" applyFont="1" applyFill="1" applyBorder="1" applyAlignment="1">
      <alignment horizontal="left"/>
    </xf>
    <xf numFmtId="0" fontId="54" fillId="0" borderId="72" xfId="5" applyFont="1" applyBorder="1" applyAlignment="1">
      <alignment horizontal="center"/>
    </xf>
    <xf numFmtId="0" fontId="54" fillId="14" borderId="8" xfId="5" applyFont="1" applyFill="1" applyBorder="1" applyAlignment="1">
      <alignment horizontal="left"/>
    </xf>
    <xf numFmtId="0" fontId="54" fillId="0" borderId="0" xfId="5" applyFont="1" applyBorder="1" applyAlignment="1">
      <alignment horizontal="center"/>
    </xf>
    <xf numFmtId="0" fontId="54" fillId="14" borderId="8" xfId="5" applyFont="1" applyFill="1" applyBorder="1" applyAlignment="1"/>
    <xf numFmtId="0" fontId="54" fillId="0" borderId="0" xfId="5" applyFont="1" applyFill="1" applyBorder="1" applyAlignment="1"/>
    <xf numFmtId="0" fontId="46" fillId="2" borderId="0" xfId="0" applyFont="1" applyFill="1" applyBorder="1" applyAlignment="1" applyProtection="1">
      <alignment horizontal="center"/>
    </xf>
    <xf numFmtId="0" fontId="46" fillId="0" borderId="0" xfId="0" applyFont="1" applyAlignment="1" applyProtection="1">
      <alignment horizontal="center"/>
    </xf>
    <xf numFmtId="0" fontId="47" fillId="0" borderId="0" xfId="0" applyFont="1" applyFill="1" applyBorder="1" applyAlignment="1" applyProtection="1">
      <alignment horizontal="center"/>
    </xf>
    <xf numFmtId="164" fontId="46" fillId="2" borderId="0" xfId="0" applyNumberFormat="1" applyFont="1" applyFill="1" applyBorder="1" applyAlignment="1" applyProtection="1">
      <alignment horizontal="center"/>
    </xf>
    <xf numFmtId="0" fontId="46" fillId="2" borderId="0" xfId="0" applyFont="1" applyFill="1" applyBorder="1" applyAlignment="1" applyProtection="1">
      <alignment horizontal="center"/>
      <protection locked="0"/>
    </xf>
    <xf numFmtId="0" fontId="47" fillId="0" borderId="0" xfId="0" applyFont="1" applyFill="1" applyBorder="1" applyAlignment="1" applyProtection="1"/>
    <xf numFmtId="44" fontId="46" fillId="0" borderId="0" xfId="2" applyFont="1" applyBorder="1" applyAlignment="1">
      <alignment horizontal="center"/>
    </xf>
    <xf numFmtId="0" fontId="47" fillId="0" borderId="0" xfId="0" applyFont="1" applyFill="1" applyBorder="1" applyAlignment="1" applyProtection="1">
      <alignment horizontal="center"/>
    </xf>
    <xf numFmtId="185" fontId="47" fillId="0" borderId="0" xfId="0" applyNumberFormat="1" applyFont="1" applyFill="1" applyBorder="1" applyAlignment="1" applyProtection="1"/>
    <xf numFmtId="0" fontId="46" fillId="0" borderId="0" xfId="0" applyFont="1" applyBorder="1" applyAlignment="1" applyProtection="1">
      <alignment horizontal="center"/>
    </xf>
    <xf numFmtId="0" fontId="46" fillId="0" borderId="0" xfId="0" applyFont="1" applyAlignment="1" applyProtection="1">
      <alignment horizontal="left"/>
    </xf>
    <xf numFmtId="0" fontId="46" fillId="5" borderId="0" xfId="0" applyFont="1" applyFill="1" applyBorder="1" applyAlignment="1" applyProtection="1">
      <alignment vertical="center"/>
    </xf>
    <xf numFmtId="0" fontId="46" fillId="6" borderId="0" xfId="0" applyFont="1" applyFill="1" applyBorder="1" applyAlignment="1" applyProtection="1">
      <alignment horizontal="center" vertical="center"/>
    </xf>
    <xf numFmtId="0" fontId="47" fillId="5" borderId="0" xfId="0" applyFont="1" applyFill="1" applyBorder="1" applyAlignment="1" applyProtection="1">
      <alignment horizontal="center" vertical="center"/>
    </xf>
    <xf numFmtId="0" fontId="49" fillId="7" borderId="0" xfId="0" applyFont="1" applyFill="1" applyBorder="1" applyAlignment="1" applyProtection="1">
      <alignment horizontal="center"/>
      <protection locked="0"/>
    </xf>
    <xf numFmtId="171" fontId="50" fillId="0" borderId="0" xfId="2" applyNumberFormat="1" applyFont="1" applyBorder="1" applyAlignment="1">
      <alignment horizontal="right"/>
    </xf>
    <xf numFmtId="2" fontId="46" fillId="0" borderId="0" xfId="0" applyNumberFormat="1" applyFont="1" applyBorder="1" applyAlignment="1" applyProtection="1"/>
    <xf numFmtId="0" fontId="46" fillId="7" borderId="0" xfId="0" applyFont="1" applyFill="1" applyBorder="1" applyAlignment="1">
      <alignment vertical="center"/>
    </xf>
    <xf numFmtId="9" fontId="46" fillId="7" borderId="0" xfId="4" applyFont="1" applyFill="1" applyBorder="1" applyAlignment="1">
      <alignment horizontal="center" vertical="center"/>
    </xf>
    <xf numFmtId="0" fontId="46" fillId="6" borderId="0" xfId="0" applyFont="1" applyFill="1" applyBorder="1" applyAlignment="1">
      <alignment horizontal="center" vertical="center"/>
    </xf>
    <xf numFmtId="171" fontId="46" fillId="0" borderId="0" xfId="2" applyNumberFormat="1" applyFont="1" applyBorder="1" applyAlignment="1">
      <alignment horizontal="right"/>
    </xf>
    <xf numFmtId="171" fontId="49" fillId="0" borderId="0" xfId="2" applyNumberFormat="1" applyFont="1" applyFill="1" applyBorder="1" applyAlignment="1">
      <alignment horizontal="right"/>
    </xf>
    <xf numFmtId="171" fontId="50" fillId="0" borderId="0" xfId="2" applyNumberFormat="1" applyFont="1" applyFill="1" applyBorder="1" applyAlignment="1">
      <alignment horizontal="right"/>
    </xf>
    <xf numFmtId="9" fontId="46" fillId="0" borderId="0" xfId="4" applyFont="1" applyBorder="1" applyAlignment="1" applyProtection="1"/>
    <xf numFmtId="171" fontId="46" fillId="2" borderId="0" xfId="2" applyNumberFormat="1" applyFont="1" applyFill="1" applyBorder="1" applyAlignment="1" applyProtection="1">
      <alignment horizontal="center"/>
    </xf>
    <xf numFmtId="171" fontId="46" fillId="3" borderId="0" xfId="0" applyNumberFormat="1" applyFont="1" applyFill="1" applyBorder="1" applyAlignment="1"/>
    <xf numFmtId="171" fontId="47" fillId="5" borderId="0" xfId="2" applyNumberFormat="1" applyFont="1" applyFill="1" applyBorder="1" applyAlignment="1">
      <alignment horizontal="center" vertical="center"/>
    </xf>
    <xf numFmtId="171" fontId="47" fillId="6" borderId="0" xfId="2" applyNumberFormat="1" applyFont="1" applyFill="1" applyBorder="1" applyAlignment="1">
      <alignment horizontal="center" vertical="center"/>
    </xf>
    <xf numFmtId="44" fontId="46" fillId="0" borderId="0" xfId="2" applyFont="1" applyBorder="1" applyAlignment="1" applyProtection="1">
      <alignment horizontal="right"/>
    </xf>
    <xf numFmtId="44" fontId="47" fillId="0" borderId="0" xfId="2" applyFont="1" applyFill="1" applyBorder="1" applyAlignment="1" applyProtection="1"/>
    <xf numFmtId="165" fontId="47" fillId="0" borderId="0" xfId="0" applyNumberFormat="1" applyFont="1" applyFill="1" applyBorder="1" applyAlignment="1" applyProtection="1">
      <alignment horizontal="center"/>
    </xf>
    <xf numFmtId="165" fontId="46" fillId="0" borderId="0" xfId="0" applyNumberFormat="1" applyFont="1" applyFill="1" applyBorder="1" applyAlignment="1" applyProtection="1">
      <alignment horizontal="left"/>
    </xf>
    <xf numFmtId="0" fontId="54" fillId="0" borderId="0" xfId="5" applyFont="1" applyBorder="1" applyAlignment="1">
      <alignment horizontal="right"/>
    </xf>
    <xf numFmtId="0" fontId="46" fillId="13" borderId="0" xfId="0" applyFont="1" applyFill="1" applyBorder="1" applyAlignment="1">
      <alignment vertical="center"/>
    </xf>
    <xf numFmtId="0" fontId="46" fillId="13" borderId="0" xfId="0" applyFont="1" applyFill="1" applyBorder="1" applyAlignment="1">
      <alignment horizontal="center" vertical="center"/>
    </xf>
    <xf numFmtId="0" fontId="46" fillId="11" borderId="0" xfId="0" applyFont="1" applyFill="1" applyBorder="1" applyAlignment="1" applyProtection="1">
      <alignment horizontal="center"/>
    </xf>
    <xf numFmtId="165" fontId="46" fillId="0" borderId="0" xfId="0" applyNumberFormat="1" applyFont="1" applyFill="1" applyBorder="1" applyAlignment="1" applyProtection="1">
      <alignment horizontal="center"/>
    </xf>
    <xf numFmtId="185" fontId="47" fillId="0" borderId="0" xfId="0" applyNumberFormat="1" applyFont="1" applyFill="1" applyBorder="1" applyAlignment="1" applyProtection="1">
      <alignment horizontal="center"/>
    </xf>
    <xf numFmtId="171" fontId="46" fillId="0" borderId="0" xfId="2" applyNumberFormat="1" applyFont="1" applyFill="1" applyBorder="1" applyAlignment="1" applyProtection="1"/>
    <xf numFmtId="171" fontId="47" fillId="0" borderId="0" xfId="2" applyNumberFormat="1" applyFont="1" applyFill="1" applyBorder="1" applyAlignment="1" applyProtection="1"/>
    <xf numFmtId="0" fontId="46" fillId="0" borderId="0" xfId="0" applyFont="1" applyBorder="1" applyAlignment="1" applyProtection="1">
      <alignment horizontal="right"/>
    </xf>
    <xf numFmtId="0" fontId="46" fillId="0" borderId="0" xfId="0" applyFont="1" applyAlignment="1" applyProtection="1">
      <alignment horizontal="right"/>
    </xf>
    <xf numFmtId="0" fontId="46" fillId="0" borderId="0" xfId="0" applyFont="1" applyAlignment="1" applyProtection="1">
      <alignment horizontal="right"/>
    </xf>
    <xf numFmtId="0" fontId="46" fillId="0" borderId="0" xfId="0" applyFont="1" applyBorder="1" applyAlignment="1" applyProtection="1">
      <alignment horizontal="center"/>
    </xf>
    <xf numFmtId="0" fontId="46" fillId="0" borderId="0" xfId="0" applyFont="1" applyAlignment="1" applyProtection="1">
      <alignment horizontal="left"/>
    </xf>
    <xf numFmtId="0" fontId="46" fillId="0" borderId="0" xfId="0" applyFont="1" applyBorder="1" applyAlignment="1" applyProtection="1">
      <alignment horizontal="right"/>
    </xf>
    <xf numFmtId="0" fontId="46" fillId="2" borderId="0" xfId="0" applyFont="1" applyFill="1" applyBorder="1" applyAlignment="1" applyProtection="1">
      <alignment horizontal="right"/>
    </xf>
    <xf numFmtId="1" fontId="46" fillId="0" borderId="0" xfId="0" applyNumberFormat="1" applyFont="1" applyBorder="1" applyAlignment="1" applyProtection="1">
      <alignment horizontal="center"/>
    </xf>
    <xf numFmtId="0" fontId="48" fillId="0" borderId="0" xfId="0" applyFont="1" applyBorder="1" applyAlignment="1" applyProtection="1"/>
    <xf numFmtId="0" fontId="46" fillId="0" borderId="120" xfId="0" applyFont="1" applyBorder="1" applyAlignment="1" applyProtection="1"/>
    <xf numFmtId="0" fontId="51" fillId="0" borderId="0" xfId="0" applyFont="1" applyBorder="1" applyAlignment="1" applyProtection="1">
      <alignment horizontal="center"/>
    </xf>
    <xf numFmtId="0" fontId="46" fillId="0" borderId="43" xfId="0" applyFont="1" applyBorder="1" applyAlignment="1" applyProtection="1">
      <alignment horizontal="left"/>
    </xf>
    <xf numFmtId="0" fontId="48" fillId="0" borderId="54" xfId="0" applyFont="1" applyBorder="1" applyAlignment="1" applyProtection="1"/>
    <xf numFmtId="0" fontId="46" fillId="3" borderId="11" xfId="0" quotePrefix="1" applyFont="1" applyFill="1" applyBorder="1" applyAlignment="1" applyProtection="1">
      <alignment vertical="center"/>
    </xf>
    <xf numFmtId="0" fontId="46" fillId="3" borderId="43" xfId="0" quotePrefix="1" applyFont="1" applyFill="1" applyBorder="1" applyAlignment="1" applyProtection="1">
      <alignment vertical="center"/>
    </xf>
    <xf numFmtId="171" fontId="54" fillId="0" borderId="0" xfId="2" applyNumberFormat="1" applyFont="1" applyFill="1" applyBorder="1" applyAlignment="1">
      <alignment horizontal="center"/>
    </xf>
    <xf numFmtId="44" fontId="46" fillId="0" borderId="0" xfId="2" applyFont="1" applyFill="1" applyBorder="1" applyAlignment="1" applyProtection="1">
      <alignment horizontal="center"/>
      <protection locked="0"/>
    </xf>
    <xf numFmtId="0" fontId="55" fillId="0" borderId="0" xfId="0" applyFont="1" applyBorder="1" applyAlignment="1">
      <alignment horizontal="right"/>
    </xf>
    <xf numFmtId="44" fontId="46" fillId="0" borderId="0" xfId="2" applyFont="1" applyBorder="1" applyAlignment="1">
      <alignment horizontal="center"/>
    </xf>
    <xf numFmtId="1" fontId="46" fillId="0" borderId="0" xfId="0" applyNumberFormat="1" applyFont="1" applyBorder="1" applyAlignment="1" applyProtection="1">
      <alignment horizontal="center"/>
    </xf>
    <xf numFmtId="44" fontId="46" fillId="0" borderId="0" xfId="0" applyNumberFormat="1" applyFont="1" applyAlignment="1" applyProtection="1">
      <alignment horizontal="center"/>
    </xf>
    <xf numFmtId="171" fontId="54" fillId="0" borderId="0" xfId="2" applyNumberFormat="1" applyFont="1" applyFill="1" applyBorder="1" applyAlignment="1">
      <alignment horizontal="center"/>
    </xf>
    <xf numFmtId="0" fontId="13" fillId="0" borderId="0" xfId="0" applyFont="1" applyFill="1" applyBorder="1" applyAlignment="1" applyProtection="1">
      <alignment horizontal="right"/>
    </xf>
    <xf numFmtId="165" fontId="46" fillId="2" borderId="0" xfId="0" applyNumberFormat="1" applyFont="1" applyFill="1" applyBorder="1" applyAlignment="1" applyProtection="1">
      <alignment horizontal="center"/>
    </xf>
    <xf numFmtId="171" fontId="46" fillId="0" borderId="0" xfId="2" applyNumberFormat="1" applyFont="1" applyFill="1" applyBorder="1" applyAlignment="1" applyProtection="1">
      <alignment horizontal="center"/>
    </xf>
    <xf numFmtId="0" fontId="46" fillId="19" borderId="0" xfId="0" applyFont="1" applyFill="1" applyBorder="1" applyAlignment="1">
      <alignment horizontal="center" vertical="center"/>
    </xf>
    <xf numFmtId="0" fontId="46" fillId="19" borderId="0" xfId="0" applyFont="1" applyFill="1" applyAlignment="1" applyProtection="1">
      <alignment horizontal="center"/>
    </xf>
    <xf numFmtId="44" fontId="46" fillId="0" borderId="0" xfId="2" applyFont="1" applyBorder="1" applyAlignment="1">
      <alignment horizontal="center"/>
    </xf>
    <xf numFmtId="0" fontId="46" fillId="0" borderId="0" xfId="0" applyFont="1" applyBorder="1" applyAlignment="1" applyProtection="1">
      <alignment horizontal="right"/>
    </xf>
    <xf numFmtId="44" fontId="46" fillId="0" borderId="0" xfId="2" applyFont="1" applyFill="1" applyBorder="1" applyAlignment="1" applyProtection="1">
      <alignment horizontal="center"/>
      <protection locked="0"/>
    </xf>
    <xf numFmtId="171" fontId="46" fillId="0" borderId="0" xfId="0" applyNumberFormat="1" applyFont="1" applyBorder="1" applyAlignment="1" applyProtection="1">
      <alignment horizontal="center"/>
    </xf>
    <xf numFmtId="0" fontId="46" fillId="0" borderId="0" xfId="0" applyFont="1" applyBorder="1" applyAlignment="1" applyProtection="1">
      <alignment horizontal="center"/>
    </xf>
    <xf numFmtId="44" fontId="46" fillId="0" borderId="0" xfId="0" applyNumberFormat="1" applyFont="1" applyBorder="1" applyAlignment="1" applyProtection="1">
      <alignment horizontal="center"/>
    </xf>
    <xf numFmtId="0" fontId="46" fillId="0" borderId="0" xfId="0" applyFont="1" applyAlignment="1" applyProtection="1">
      <alignment horizontal="center"/>
    </xf>
    <xf numFmtId="0" fontId="46" fillId="0" borderId="0" xfId="0" applyFont="1" applyAlignment="1" applyProtection="1">
      <alignment horizontal="right"/>
    </xf>
    <xf numFmtId="0" fontId="47" fillId="19" borderId="0" xfId="0" applyFont="1" applyFill="1" applyBorder="1" applyAlignment="1" applyProtection="1">
      <alignment horizontal="center" vertical="center"/>
    </xf>
    <xf numFmtId="0" fontId="47" fillId="3" borderId="0" xfId="0" applyFont="1" applyFill="1" applyBorder="1" applyAlignment="1" applyProtection="1">
      <alignment horizontal="center" vertical="center"/>
    </xf>
    <xf numFmtId="0" fontId="46" fillId="0" borderId="0" xfId="0" applyFont="1" applyBorder="1" applyAlignment="1">
      <alignment horizontal="right"/>
    </xf>
    <xf numFmtId="0" fontId="46" fillId="20" borderId="0" xfId="0" applyFont="1" applyFill="1" applyBorder="1" applyAlignment="1" applyProtection="1">
      <alignment horizontal="center" textRotation="90"/>
    </xf>
    <xf numFmtId="44" fontId="46" fillId="0" borderId="0" xfId="0" applyNumberFormat="1" applyFont="1" applyAlignment="1" applyProtection="1">
      <alignment horizontal="center"/>
    </xf>
    <xf numFmtId="0" fontId="46" fillId="19" borderId="0" xfId="0" applyFont="1" applyFill="1" applyBorder="1" applyAlignment="1" applyProtection="1">
      <alignment horizontal="center" vertical="center"/>
    </xf>
    <xf numFmtId="0" fontId="46" fillId="4" borderId="0" xfId="0" applyFont="1" applyFill="1" applyBorder="1" applyAlignment="1">
      <alignment horizontal="center" vertical="center"/>
    </xf>
    <xf numFmtId="0" fontId="46" fillId="3" borderId="0" xfId="0" applyFont="1" applyFill="1" applyBorder="1" applyAlignment="1" applyProtection="1">
      <alignment horizontal="center" vertical="center"/>
    </xf>
    <xf numFmtId="1" fontId="46" fillId="0" borderId="0" xfId="0" applyNumberFormat="1" applyFont="1" applyBorder="1" applyAlignment="1" applyProtection="1">
      <alignment horizontal="center"/>
    </xf>
    <xf numFmtId="1" fontId="46" fillId="2" borderId="0" xfId="0" applyNumberFormat="1" applyFont="1" applyFill="1" applyBorder="1" applyAlignment="1" applyProtection="1">
      <alignment horizontal="center"/>
    </xf>
    <xf numFmtId="2" fontId="47" fillId="2" borderId="0" xfId="0" applyNumberFormat="1" applyFont="1" applyFill="1" applyBorder="1" applyAlignment="1" applyProtection="1">
      <alignment horizontal="center"/>
    </xf>
    <xf numFmtId="0" fontId="47" fillId="0" borderId="0" xfId="0" applyFont="1" applyFill="1" applyBorder="1" applyAlignment="1" applyProtection="1">
      <alignment horizontal="center"/>
    </xf>
    <xf numFmtId="0" fontId="46" fillId="20" borderId="0" xfId="0" applyFont="1" applyFill="1" applyAlignment="1" applyProtection="1">
      <alignment horizontal="center"/>
    </xf>
    <xf numFmtId="0" fontId="46" fillId="0" borderId="0" xfId="0" applyFont="1" applyFill="1" applyBorder="1" applyAlignment="1">
      <alignment horizontal="center" vertical="center"/>
    </xf>
    <xf numFmtId="0" fontId="55" fillId="0" borderId="0" xfId="0" applyFont="1" applyBorder="1" applyAlignment="1">
      <alignment horizontal="right"/>
    </xf>
    <xf numFmtId="0" fontId="7" fillId="2" borderId="1" xfId="3" applyFont="1" applyFill="1" applyBorder="1" applyAlignment="1" applyProtection="1">
      <alignment horizontal="left"/>
    </xf>
    <xf numFmtId="0" fontId="18" fillId="0" borderId="82" xfId="3" applyFont="1" applyFill="1" applyBorder="1" applyAlignment="1" applyProtection="1">
      <alignment horizontal="center"/>
    </xf>
    <xf numFmtId="0" fontId="18" fillId="0" borderId="77" xfId="3" applyFont="1" applyFill="1" applyBorder="1" applyAlignment="1" applyProtection="1">
      <alignment horizontal="center"/>
    </xf>
    <xf numFmtId="0" fontId="7" fillId="2" borderId="8" xfId="3" applyFont="1" applyFill="1" applyBorder="1" applyAlignment="1" applyProtection="1">
      <alignment horizontal="left"/>
    </xf>
    <xf numFmtId="187" fontId="11" fillId="2" borderId="8" xfId="3" applyNumberFormat="1" applyFont="1" applyFill="1" applyBorder="1" applyAlignment="1" applyProtection="1">
      <alignment horizontal="center"/>
    </xf>
    <xf numFmtId="171" fontId="20" fillId="0" borderId="66" xfId="3" applyNumberFormat="1" applyFont="1" applyFill="1" applyBorder="1" applyAlignment="1">
      <alignment horizontal="center"/>
    </xf>
    <xf numFmtId="171" fontId="20" fillId="0" borderId="0" xfId="3" applyNumberFormat="1" applyFont="1" applyFill="1" applyBorder="1" applyAlignment="1">
      <alignment horizontal="center"/>
    </xf>
    <xf numFmtId="171" fontId="20" fillId="0" borderId="91" xfId="3" applyNumberFormat="1" applyFont="1" applyFill="1" applyBorder="1" applyAlignment="1">
      <alignment horizontal="center"/>
    </xf>
    <xf numFmtId="0" fontId="17" fillId="0" borderId="49" xfId="3" applyFont="1" applyBorder="1" applyAlignment="1" applyProtection="1">
      <alignment horizontal="center" textRotation="90"/>
    </xf>
    <xf numFmtId="0" fontId="17" fillId="0" borderId="84" xfId="3" applyFont="1" applyBorder="1" applyAlignment="1" applyProtection="1">
      <alignment horizontal="center" textRotation="90"/>
    </xf>
    <xf numFmtId="0" fontId="17" fillId="0" borderId="13" xfId="3" applyFont="1" applyBorder="1" applyAlignment="1" applyProtection="1">
      <alignment horizontal="center" textRotation="90"/>
    </xf>
    <xf numFmtId="0" fontId="17" fillId="0" borderId="7" xfId="3" applyFont="1" applyBorder="1" applyAlignment="1" applyProtection="1">
      <alignment horizontal="center" textRotation="90"/>
    </xf>
    <xf numFmtId="0" fontId="7" fillId="8" borderId="6" xfId="3" applyFont="1" applyFill="1" applyBorder="1" applyAlignment="1" applyProtection="1">
      <alignment horizontal="center"/>
    </xf>
    <xf numFmtId="0" fontId="7" fillId="8" borderId="8" xfId="3" applyFont="1" applyFill="1" applyBorder="1" applyAlignment="1" applyProtection="1">
      <alignment horizontal="center"/>
    </xf>
    <xf numFmtId="0" fontId="7" fillId="8" borderId="78" xfId="3" applyFont="1" applyFill="1" applyBorder="1" applyAlignment="1" applyProtection="1">
      <alignment horizontal="center"/>
    </xf>
    <xf numFmtId="0" fontId="7" fillId="8" borderId="48" xfId="3" applyFont="1" applyFill="1" applyBorder="1" applyAlignment="1" applyProtection="1">
      <alignment horizontal="center"/>
    </xf>
    <xf numFmtId="0" fontId="13" fillId="0" borderId="87" xfId="6" applyFont="1" applyFill="1" applyBorder="1" applyAlignment="1" applyProtection="1">
      <alignment horizontal="left"/>
    </xf>
    <xf numFmtId="0" fontId="13" fillId="0" borderId="12" xfId="6" applyFont="1" applyFill="1" applyBorder="1" applyAlignment="1" applyProtection="1">
      <alignment horizontal="left"/>
    </xf>
    <xf numFmtId="0" fontId="13" fillId="0" borderId="11" xfId="6" applyFont="1" applyFill="1" applyBorder="1" applyAlignment="1" applyProtection="1">
      <alignment horizontal="left"/>
    </xf>
    <xf numFmtId="0" fontId="13" fillId="0" borderId="6" xfId="6" applyFont="1" applyBorder="1" applyAlignment="1" applyProtection="1">
      <alignment horizontal="left"/>
    </xf>
    <xf numFmtId="0" fontId="13" fillId="0" borderId="48" xfId="6" applyFont="1" applyBorder="1" applyAlignment="1" applyProtection="1">
      <alignment horizontal="left"/>
    </xf>
    <xf numFmtId="0" fontId="7" fillId="5" borderId="6" xfId="3" applyFont="1" applyFill="1" applyBorder="1" applyAlignment="1" applyProtection="1">
      <alignment horizontal="center"/>
    </xf>
    <xf numFmtId="0" fontId="7" fillId="5" borderId="8" xfId="3" applyFont="1" applyFill="1" applyBorder="1" applyAlignment="1" applyProtection="1">
      <alignment horizontal="center"/>
    </xf>
    <xf numFmtId="0" fontId="7" fillId="5" borderId="48" xfId="3" applyFont="1" applyFill="1" applyBorder="1" applyAlignment="1" applyProtection="1">
      <alignment horizontal="center"/>
    </xf>
    <xf numFmtId="0" fontId="7" fillId="6" borderId="6" xfId="3" applyFont="1" applyFill="1" applyBorder="1" applyAlignment="1" applyProtection="1">
      <alignment horizontal="center"/>
    </xf>
    <xf numFmtId="0" fontId="7" fillId="6" borderId="8" xfId="3" applyFont="1" applyFill="1" applyBorder="1" applyAlignment="1" applyProtection="1">
      <alignment horizontal="center"/>
    </xf>
    <xf numFmtId="0" fontId="7" fillId="6" borderId="48" xfId="3" applyFont="1" applyFill="1" applyBorder="1" applyAlignment="1" applyProtection="1">
      <alignment horizontal="center"/>
    </xf>
    <xf numFmtId="0" fontId="8" fillId="0" borderId="49" xfId="3" applyFont="1" applyBorder="1" applyAlignment="1" applyProtection="1">
      <alignment horizontal="center" textRotation="90"/>
    </xf>
    <xf numFmtId="0" fontId="8" fillId="0" borderId="84" xfId="3" applyFont="1" applyBorder="1" applyAlignment="1" applyProtection="1">
      <alignment horizontal="center" textRotation="90"/>
    </xf>
    <xf numFmtId="0" fontId="8" fillId="0" borderId="7" xfId="3" applyFont="1" applyBorder="1" applyAlignment="1" applyProtection="1">
      <alignment horizontal="center" textRotation="90"/>
    </xf>
    <xf numFmtId="0" fontId="20" fillId="7" borderId="3" xfId="3" applyFont="1" applyFill="1" applyBorder="1" applyAlignment="1">
      <alignment horizontal="right" vertical="center" wrapText="1"/>
    </xf>
    <xf numFmtId="0" fontId="20" fillId="7" borderId="4" xfId="3" applyFont="1" applyFill="1" applyBorder="1" applyAlignment="1">
      <alignment horizontal="right" vertical="center" wrapText="1"/>
    </xf>
    <xf numFmtId="0" fontId="20" fillId="3" borderId="3" xfId="3" applyFont="1" applyFill="1" applyBorder="1" applyAlignment="1" applyProtection="1">
      <alignment horizontal="center" vertical="center"/>
    </xf>
    <xf numFmtId="0" fontId="20" fillId="3" borderId="4" xfId="3" applyFont="1" applyFill="1" applyBorder="1" applyAlignment="1" applyProtection="1">
      <alignment horizontal="center" vertical="center"/>
    </xf>
    <xf numFmtId="0" fontId="20" fillId="5" borderId="3" xfId="3" applyFont="1" applyFill="1" applyBorder="1" applyAlignment="1" applyProtection="1">
      <alignment horizontal="center" vertical="center" wrapText="1"/>
    </xf>
    <xf numFmtId="0" fontId="20" fillId="5" borderId="4" xfId="3" applyFont="1" applyFill="1" applyBorder="1" applyAlignment="1" applyProtection="1">
      <alignment horizontal="center" vertical="center" wrapText="1"/>
    </xf>
    <xf numFmtId="0" fontId="7" fillId="2" borderId="6" xfId="3" applyFont="1" applyFill="1" applyBorder="1" applyAlignment="1" applyProtection="1">
      <alignment horizontal="center"/>
    </xf>
    <xf numFmtId="0" fontId="7" fillId="2" borderId="8" xfId="3" applyFont="1" applyFill="1" applyBorder="1" applyAlignment="1" applyProtection="1">
      <alignment horizontal="center"/>
    </xf>
    <xf numFmtId="0" fontId="7" fillId="2" borderId="48" xfId="3" applyFont="1" applyFill="1" applyBorder="1" applyAlignment="1" applyProtection="1">
      <alignment horizontal="center"/>
    </xf>
    <xf numFmtId="0" fontId="2" fillId="0" borderId="2" xfId="3" applyFont="1" applyBorder="1" applyAlignment="1" applyProtection="1">
      <alignment horizontal="center" textRotation="90"/>
    </xf>
    <xf numFmtId="0" fontId="5" fillId="3" borderId="6" xfId="3" applyFont="1" applyFill="1" applyBorder="1" applyAlignment="1" applyProtection="1">
      <alignment horizontal="left" indent="6"/>
    </xf>
    <xf numFmtId="0" fontId="5" fillId="3" borderId="8" xfId="3" applyFont="1" applyFill="1" applyBorder="1" applyAlignment="1" applyProtection="1">
      <alignment horizontal="left" indent="6"/>
    </xf>
    <xf numFmtId="0" fontId="5" fillId="3" borderId="1" xfId="3" applyFont="1" applyFill="1" applyBorder="1" applyAlignment="1" applyProtection="1">
      <alignment horizontal="left" indent="6"/>
    </xf>
    <xf numFmtId="0" fontId="13" fillId="0" borderId="6" xfId="3" applyFont="1" applyBorder="1" applyAlignment="1" applyProtection="1">
      <alignment horizontal="left"/>
    </xf>
    <xf numFmtId="0" fontId="13" fillId="0" borderId="8" xfId="3" applyFont="1" applyBorder="1" applyAlignment="1" applyProtection="1">
      <alignment horizontal="left"/>
    </xf>
    <xf numFmtId="0" fontId="5" fillId="3" borderId="87" xfId="3" applyFont="1" applyFill="1" applyBorder="1" applyAlignment="1" applyProtection="1">
      <alignment horizontal="left" vertical="top" wrapText="1" indent="4"/>
    </xf>
    <xf numFmtId="0" fontId="5" fillId="3" borderId="12" xfId="3" applyFont="1" applyFill="1" applyBorder="1" applyAlignment="1" applyProtection="1">
      <alignment horizontal="left" vertical="top" wrapText="1" indent="4"/>
    </xf>
    <xf numFmtId="0" fontId="5" fillId="3" borderId="11" xfId="3" applyFont="1" applyFill="1" applyBorder="1" applyAlignment="1" applyProtection="1">
      <alignment horizontal="left" vertical="top" wrapText="1" indent="4"/>
    </xf>
    <xf numFmtId="0" fontId="5" fillId="3" borderId="72" xfId="3" applyFont="1" applyFill="1" applyBorder="1" applyAlignment="1" applyProtection="1">
      <alignment horizontal="left" vertical="top" wrapText="1" indent="4"/>
    </xf>
    <xf numFmtId="0" fontId="5" fillId="3" borderId="1" xfId="3" applyFont="1" applyFill="1" applyBorder="1" applyAlignment="1" applyProtection="1">
      <alignment horizontal="left" vertical="top" wrapText="1" indent="4"/>
    </xf>
    <xf numFmtId="0" fontId="5" fillId="3" borderId="43" xfId="3" applyFont="1" applyFill="1" applyBorder="1" applyAlignment="1" applyProtection="1">
      <alignment horizontal="left" vertical="top" wrapText="1" indent="4"/>
    </xf>
    <xf numFmtId="0" fontId="5" fillId="3" borderId="2" xfId="3" applyFont="1" applyFill="1" applyBorder="1" applyAlignment="1" applyProtection="1">
      <alignment horizontal="center" wrapText="1"/>
    </xf>
    <xf numFmtId="0" fontId="13" fillId="0" borderId="6" xfId="6" applyFont="1" applyFill="1" applyBorder="1" applyAlignment="1" applyProtection="1">
      <alignment horizontal="left"/>
    </xf>
    <xf numFmtId="0" fontId="13" fillId="0" borderId="8" xfId="6" applyFont="1" applyFill="1" applyBorder="1" applyAlignment="1" applyProtection="1">
      <alignment horizontal="left"/>
    </xf>
    <xf numFmtId="0" fontId="13" fillId="0" borderId="48" xfId="6" applyFont="1" applyFill="1" applyBorder="1" applyAlignment="1" applyProtection="1">
      <alignment horizontal="left"/>
    </xf>
    <xf numFmtId="0" fontId="2" fillId="0" borderId="84" xfId="3" applyFont="1" applyBorder="1" applyAlignment="1" applyProtection="1">
      <alignment horizontal="center" textRotation="90"/>
    </xf>
    <xf numFmtId="0" fontId="2" fillId="0" borderId="7" xfId="3" applyFont="1" applyBorder="1" applyAlignment="1" applyProtection="1">
      <alignment horizontal="center" textRotation="90"/>
    </xf>
    <xf numFmtId="0" fontId="7" fillId="0" borderId="6" xfId="6" applyFont="1" applyFill="1" applyBorder="1" applyAlignment="1" applyProtection="1">
      <alignment horizontal="left"/>
    </xf>
    <xf numFmtId="0" fontId="7" fillId="0" borderId="8" xfId="6" applyFont="1" applyFill="1" applyBorder="1" applyAlignment="1" applyProtection="1">
      <alignment horizontal="left"/>
    </xf>
    <xf numFmtId="0" fontId="7" fillId="0" borderId="48" xfId="6" applyFont="1" applyFill="1" applyBorder="1" applyAlignment="1" applyProtection="1">
      <alignment horizontal="left"/>
    </xf>
    <xf numFmtId="0" fontId="2" fillId="0" borderId="49" xfId="3" applyFont="1" applyBorder="1" applyAlignment="1" applyProtection="1">
      <alignment horizontal="center" textRotation="90"/>
    </xf>
    <xf numFmtId="0" fontId="13" fillId="0" borderId="6" xfId="3" applyFont="1" applyFill="1" applyBorder="1" applyAlignment="1" applyProtection="1">
      <alignment horizontal="left"/>
    </xf>
    <xf numFmtId="0" fontId="13" fillId="0" borderId="48" xfId="3" applyFont="1" applyFill="1" applyBorder="1" applyAlignment="1" applyProtection="1">
      <alignment horizontal="left"/>
    </xf>
    <xf numFmtId="0" fontId="24" fillId="0" borderId="40" xfId="3" applyFont="1" applyFill="1" applyBorder="1" applyAlignment="1" applyProtection="1">
      <alignment horizontal="center" vertical="center" textRotation="90"/>
    </xf>
    <xf numFmtId="0" fontId="24" fillId="0" borderId="88" xfId="3" applyFont="1" applyFill="1" applyBorder="1" applyAlignment="1" applyProtection="1">
      <alignment horizontal="center" vertical="center" textRotation="90"/>
    </xf>
    <xf numFmtId="0" fontId="24" fillId="0" borderId="89" xfId="3" applyFont="1" applyFill="1" applyBorder="1" applyAlignment="1" applyProtection="1">
      <alignment horizontal="center" vertical="center" textRotation="90"/>
    </xf>
    <xf numFmtId="0" fontId="19" fillId="0" borderId="4" xfId="3" applyFont="1" applyBorder="1" applyAlignment="1" applyProtection="1">
      <alignment horizontal="center"/>
    </xf>
    <xf numFmtId="0" fontId="19" fillId="0" borderId="5" xfId="3" applyFont="1" applyBorder="1" applyAlignment="1" applyProtection="1">
      <alignment horizontal="center"/>
    </xf>
    <xf numFmtId="0" fontId="19" fillId="0" borderId="3" xfId="3" applyFont="1" applyBorder="1" applyAlignment="1" applyProtection="1">
      <alignment horizontal="center"/>
    </xf>
    <xf numFmtId="0" fontId="37" fillId="0" borderId="32" xfId="3" applyFont="1" applyBorder="1" applyAlignment="1" applyProtection="1">
      <alignment horizontal="center"/>
    </xf>
    <xf numFmtId="0" fontId="37" fillId="0" borderId="113" xfId="3" applyFont="1" applyBorder="1" applyAlignment="1" applyProtection="1">
      <alignment horizontal="center"/>
    </xf>
    <xf numFmtId="0" fontId="4" fillId="0" borderId="8" xfId="3" applyFont="1" applyBorder="1" applyAlignment="1" applyProtection="1">
      <alignment horizontal="left"/>
    </xf>
    <xf numFmtId="0" fontId="4" fillId="0" borderId="48" xfId="3" applyFont="1" applyBorder="1" applyAlignment="1" applyProtection="1">
      <alignment horizontal="left"/>
    </xf>
    <xf numFmtId="0" fontId="4" fillId="0" borderId="54" xfId="3" applyFont="1" applyBorder="1" applyAlignment="1" applyProtection="1">
      <alignment horizontal="left"/>
    </xf>
    <xf numFmtId="0" fontId="4" fillId="0" borderId="52" xfId="3" applyFont="1" applyBorder="1" applyAlignment="1" applyProtection="1">
      <alignment horizontal="left"/>
    </xf>
    <xf numFmtId="0" fontId="4" fillId="0" borderId="59" xfId="3" applyFont="1" applyBorder="1" applyAlignment="1" applyProtection="1">
      <alignment horizontal="left"/>
    </xf>
    <xf numFmtId="0" fontId="20" fillId="3" borderId="49" xfId="3" quotePrefix="1" applyFont="1" applyFill="1" applyBorder="1" applyAlignment="1" applyProtection="1">
      <alignment horizontal="center" vertical="center" wrapText="1"/>
    </xf>
    <xf numFmtId="0" fontId="20" fillId="3" borderId="7" xfId="3" quotePrefix="1" applyFont="1" applyFill="1" applyBorder="1" applyAlignment="1" applyProtection="1">
      <alignment horizontal="center" vertical="center" wrapText="1"/>
    </xf>
    <xf numFmtId="0" fontId="20" fillId="3" borderId="49" xfId="3" applyFont="1" applyFill="1" applyBorder="1" applyAlignment="1" applyProtection="1">
      <alignment horizontal="center" vertical="center" wrapText="1"/>
    </xf>
    <xf numFmtId="180" fontId="20" fillId="3" borderId="85" xfId="3" applyNumberFormat="1" applyFont="1" applyFill="1" applyBorder="1" applyAlignment="1" applyProtection="1">
      <alignment horizontal="center"/>
    </xf>
    <xf numFmtId="180" fontId="20" fillId="3" borderId="52" xfId="3" applyNumberFormat="1" applyFont="1" applyFill="1" applyBorder="1" applyAlignment="1" applyProtection="1">
      <alignment horizontal="center"/>
    </xf>
    <xf numFmtId="0" fontId="8" fillId="0" borderId="86" xfId="3" applyFont="1" applyBorder="1" applyAlignment="1" applyProtection="1">
      <alignment horizontal="center" textRotation="90"/>
    </xf>
    <xf numFmtId="0" fontId="5" fillId="3" borderId="6" xfId="3" applyFont="1" applyFill="1" applyBorder="1" applyAlignment="1" applyProtection="1">
      <alignment horizontal="center" wrapText="1"/>
    </xf>
    <xf numFmtId="0" fontId="5" fillId="3" borderId="8" xfId="3" applyFont="1" applyFill="1" applyBorder="1" applyAlignment="1" applyProtection="1">
      <alignment horizontal="center" wrapText="1"/>
    </xf>
    <xf numFmtId="0" fontId="4" fillId="0" borderId="12" xfId="3" applyFont="1" applyBorder="1" applyAlignment="1" applyProtection="1">
      <alignment horizontal="left"/>
    </xf>
    <xf numFmtId="0" fontId="4" fillId="0" borderId="27" xfId="3" applyFont="1" applyBorder="1" applyAlignment="1" applyProtection="1">
      <alignment horizontal="left"/>
    </xf>
    <xf numFmtId="0" fontId="4" fillId="0" borderId="30" xfId="3" applyFont="1" applyBorder="1" applyAlignment="1" applyProtection="1">
      <alignment horizontal="left"/>
    </xf>
    <xf numFmtId="0" fontId="4" fillId="0" borderId="6" xfId="3" applyFont="1" applyBorder="1" applyAlignment="1" applyProtection="1">
      <alignment horizontal="left"/>
    </xf>
    <xf numFmtId="0" fontId="38" fillId="0" borderId="75" xfId="3" applyFont="1" applyBorder="1" applyAlignment="1" applyProtection="1">
      <alignment horizontal="left"/>
    </xf>
    <xf numFmtId="0" fontId="38" fillId="0" borderId="52" xfId="3" applyFont="1" applyBorder="1" applyAlignment="1" applyProtection="1">
      <alignment horizontal="left"/>
    </xf>
    <xf numFmtId="0" fontId="20" fillId="3" borderId="11" xfId="3" quotePrefix="1" applyFont="1" applyFill="1" applyBorder="1" applyAlignment="1" applyProtection="1">
      <alignment horizontal="center" vertical="center" wrapText="1"/>
    </xf>
    <xf numFmtId="0" fontId="20" fillId="3" borderId="9" xfId="3" quotePrefix="1" applyFont="1" applyFill="1" applyBorder="1" applyAlignment="1" applyProtection="1">
      <alignment horizontal="center" vertical="center" wrapText="1"/>
    </xf>
    <xf numFmtId="0" fontId="20" fillId="3" borderId="84" xfId="3" quotePrefix="1" applyFont="1" applyFill="1" applyBorder="1" applyAlignment="1" applyProtection="1">
      <alignment horizontal="center" vertical="center" wrapText="1"/>
    </xf>
    <xf numFmtId="0" fontId="13" fillId="0" borderId="48" xfId="3" applyFont="1" applyBorder="1" applyAlignment="1" applyProtection="1">
      <alignment horizontal="left"/>
    </xf>
    <xf numFmtId="0" fontId="20" fillId="0" borderId="9" xfId="3" applyFont="1" applyFill="1" applyBorder="1" applyAlignment="1" applyProtection="1">
      <alignment horizontal="center" textRotation="90"/>
    </xf>
    <xf numFmtId="0" fontId="20" fillId="0" borderId="43" xfId="3" applyFont="1" applyFill="1" applyBorder="1" applyAlignment="1" applyProtection="1">
      <alignment horizontal="center" textRotation="90"/>
    </xf>
    <xf numFmtId="0" fontId="20" fillId="3" borderId="6" xfId="3" applyFont="1" applyFill="1" applyBorder="1" applyAlignment="1" applyProtection="1">
      <alignment horizontal="left"/>
    </xf>
    <xf numFmtId="0" fontId="20" fillId="3" borderId="48" xfId="3" applyFont="1" applyFill="1" applyBorder="1" applyAlignment="1" applyProtection="1">
      <alignment horizontal="left"/>
    </xf>
    <xf numFmtId="0" fontId="4" fillId="0" borderId="6" xfId="3" applyFont="1" applyBorder="1" applyAlignment="1" applyProtection="1">
      <alignment horizontal="center" textRotation="90"/>
    </xf>
    <xf numFmtId="0" fontId="5" fillId="0" borderId="114" xfId="3" applyFont="1" applyBorder="1" applyAlignment="1" applyProtection="1">
      <alignment horizontal="center" vertical="center"/>
    </xf>
    <xf numFmtId="0" fontId="5" fillId="0" borderId="14" xfId="3" applyFont="1" applyBorder="1" applyAlignment="1" applyProtection="1">
      <alignment horizontal="center" vertical="center"/>
    </xf>
    <xf numFmtId="0" fontId="5" fillId="0" borderId="115" xfId="3" applyFont="1" applyBorder="1" applyAlignment="1" applyProtection="1">
      <alignment horizontal="center" vertical="center"/>
    </xf>
    <xf numFmtId="0" fontId="5" fillId="0" borderId="116" xfId="3" applyFont="1" applyBorder="1" applyAlignment="1" applyProtection="1">
      <alignment horizontal="center" vertical="center"/>
    </xf>
    <xf numFmtId="0" fontId="5" fillId="0" borderId="1" xfId="3" applyFont="1" applyBorder="1" applyAlignment="1" applyProtection="1">
      <alignment horizontal="center" vertical="center"/>
    </xf>
    <xf numFmtId="0" fontId="5" fillId="0" borderId="117" xfId="3" applyFont="1" applyBorder="1" applyAlignment="1" applyProtection="1">
      <alignment horizontal="center" vertical="center"/>
    </xf>
    <xf numFmtId="0" fontId="20" fillId="0" borderId="21" xfId="3" applyFont="1" applyBorder="1" applyAlignment="1" applyProtection="1">
      <alignment horizontal="center" vertical="center" wrapText="1"/>
    </xf>
    <xf numFmtId="0" fontId="20" fillId="0" borderId="12" xfId="3" applyFont="1" applyBorder="1" applyAlignment="1" applyProtection="1">
      <alignment horizontal="center" vertical="center" wrapText="1"/>
    </xf>
    <xf numFmtId="0" fontId="20" fillId="0" borderId="11" xfId="3" applyFont="1" applyBorder="1" applyAlignment="1" applyProtection="1">
      <alignment horizontal="center" vertical="center" wrapText="1"/>
    </xf>
    <xf numFmtId="0" fontId="20" fillId="0" borderId="116" xfId="3" applyFont="1" applyBorder="1" applyAlignment="1" applyProtection="1">
      <alignment horizontal="center" vertical="center" wrapText="1"/>
    </xf>
    <xf numFmtId="0" fontId="20" fillId="0" borderId="1" xfId="3" applyFont="1" applyBorder="1" applyAlignment="1" applyProtection="1">
      <alignment horizontal="center" vertical="center" wrapText="1"/>
    </xf>
    <xf numFmtId="0" fontId="20" fillId="0" borderId="43" xfId="3" applyFont="1" applyBorder="1" applyAlignment="1" applyProtection="1">
      <alignment horizontal="center" vertical="center" wrapText="1"/>
    </xf>
    <xf numFmtId="171" fontId="20" fillId="0" borderId="84" xfId="3" applyNumberFormat="1" applyFont="1" applyBorder="1" applyAlignment="1" applyProtection="1">
      <alignment horizontal="center" vertical="center" wrapText="1"/>
    </xf>
    <xf numFmtId="171" fontId="20" fillId="0" borderId="7" xfId="3" applyNumberFormat="1" applyFont="1" applyBorder="1" applyAlignment="1" applyProtection="1">
      <alignment horizontal="center" vertical="center" wrapText="1"/>
    </xf>
    <xf numFmtId="171" fontId="20" fillId="0" borderId="118" xfId="3" applyNumberFormat="1" applyFont="1" applyBorder="1" applyAlignment="1" applyProtection="1">
      <alignment horizontal="center" vertical="center" wrapText="1"/>
    </xf>
    <xf numFmtId="171" fontId="20" fillId="0" borderId="119" xfId="3" applyNumberFormat="1" applyFont="1" applyBorder="1" applyAlignment="1" applyProtection="1">
      <alignment horizontal="center" vertical="center" wrapText="1"/>
    </xf>
    <xf numFmtId="0" fontId="13" fillId="0" borderId="78" xfId="3" applyFont="1" applyBorder="1" applyAlignment="1" applyProtection="1">
      <alignment horizontal="left"/>
    </xf>
    <xf numFmtId="0" fontId="5" fillId="3" borderId="38" xfId="3" applyFont="1" applyFill="1" applyBorder="1" applyAlignment="1" applyProtection="1">
      <alignment horizontal="center"/>
    </xf>
    <xf numFmtId="0" fontId="7" fillId="0" borderId="38" xfId="3" applyFont="1" applyFill="1" applyBorder="1" applyAlignment="1" applyProtection="1">
      <alignment horizontal="center" wrapText="1"/>
    </xf>
    <xf numFmtId="168" fontId="5" fillId="0" borderId="38" xfId="2" applyNumberFormat="1" applyFont="1" applyFill="1" applyBorder="1" applyAlignment="1" applyProtection="1">
      <alignment horizontal="center" wrapText="1"/>
    </xf>
    <xf numFmtId="177" fontId="5" fillId="9" borderId="38" xfId="3" applyNumberFormat="1" applyFont="1" applyFill="1" applyBorder="1" applyAlignment="1" applyProtection="1">
      <alignment horizontal="left"/>
    </xf>
    <xf numFmtId="177" fontId="5" fillId="8" borderId="38" xfId="3" applyNumberFormat="1" applyFont="1" applyFill="1" applyBorder="1" applyAlignment="1" applyProtection="1">
      <alignment horizontal="left"/>
    </xf>
    <xf numFmtId="0" fontId="13" fillId="15" borderId="78" xfId="3" applyFont="1" applyFill="1" applyBorder="1" applyAlignment="1" applyProtection="1">
      <alignment horizontal="left"/>
    </xf>
    <xf numFmtId="0" fontId="13" fillId="15" borderId="8" xfId="3" applyFont="1" applyFill="1" applyBorder="1" applyAlignment="1" applyProtection="1">
      <alignment horizontal="left"/>
    </xf>
    <xf numFmtId="0" fontId="13" fillId="15" borderId="48" xfId="3" applyFont="1" applyFill="1" applyBorder="1" applyAlignment="1" applyProtection="1">
      <alignment horizontal="left"/>
    </xf>
    <xf numFmtId="171" fontId="13" fillId="0" borderId="0" xfId="3" applyNumberFormat="1" applyFont="1" applyBorder="1" applyAlignment="1" applyProtection="1">
      <alignment horizontal="right"/>
    </xf>
    <xf numFmtId="171" fontId="13" fillId="0" borderId="14" xfId="3" applyNumberFormat="1" applyFont="1" applyBorder="1" applyAlignment="1" applyProtection="1">
      <alignment horizontal="right"/>
    </xf>
    <xf numFmtId="0" fontId="20" fillId="0" borderId="66" xfId="3" applyFont="1" applyBorder="1" applyAlignment="1" applyProtection="1">
      <alignment horizontal="center"/>
    </xf>
    <xf numFmtId="0" fontId="20" fillId="0" borderId="0" xfId="3" applyFont="1" applyBorder="1" applyAlignment="1" applyProtection="1">
      <alignment horizontal="center"/>
    </xf>
    <xf numFmtId="0" fontId="39" fillId="10" borderId="38" xfId="3" applyFont="1" applyFill="1" applyBorder="1" applyAlignment="1" applyProtection="1">
      <alignment horizontal="left" vertical="center" wrapText="1"/>
    </xf>
    <xf numFmtId="0" fontId="39" fillId="2" borderId="38" xfId="3" applyFont="1" applyFill="1" applyBorder="1" applyAlignment="1" applyProtection="1">
      <alignment horizontal="left" vertical="center" wrapText="1"/>
    </xf>
    <xf numFmtId="0" fontId="39" fillId="9" borderId="38" xfId="3" applyFont="1" applyFill="1" applyBorder="1" applyAlignment="1" applyProtection="1">
      <alignment horizontal="left" vertical="center" wrapText="1"/>
    </xf>
    <xf numFmtId="171" fontId="39" fillId="9" borderId="38" xfId="3" applyNumberFormat="1" applyFont="1" applyFill="1" applyBorder="1" applyAlignment="1" applyProtection="1">
      <alignment horizontal="right"/>
    </xf>
    <xf numFmtId="0" fontId="5" fillId="0" borderId="87" xfId="3" applyFont="1" applyBorder="1" applyAlignment="1" applyProtection="1">
      <alignment horizontal="center" vertical="center" textRotation="90"/>
    </xf>
    <xf numFmtId="0" fontId="5" fillId="0" borderId="11" xfId="3" applyFont="1" applyBorder="1" applyAlignment="1" applyProtection="1">
      <alignment horizontal="center" vertical="center" textRotation="90"/>
    </xf>
    <xf numFmtId="0" fontId="5" fillId="0" borderId="13" xfId="3" applyFont="1" applyBorder="1" applyAlignment="1" applyProtection="1">
      <alignment horizontal="center" vertical="center" textRotation="90"/>
    </xf>
    <xf numFmtId="0" fontId="5" fillId="0" borderId="9" xfId="3" applyFont="1" applyBorder="1" applyAlignment="1" applyProtection="1">
      <alignment horizontal="center" vertical="center" textRotation="90"/>
    </xf>
    <xf numFmtId="0" fontId="5" fillId="0" borderId="72" xfId="3" applyFont="1" applyBorder="1" applyAlignment="1" applyProtection="1">
      <alignment horizontal="center" vertical="center" textRotation="90"/>
    </xf>
    <xf numFmtId="0" fontId="5" fillId="0" borderId="43" xfId="3" applyFont="1" applyBorder="1" applyAlignment="1" applyProtection="1">
      <alignment horizontal="center" vertical="center" textRotation="90"/>
    </xf>
    <xf numFmtId="171" fontId="20" fillId="2" borderId="6" xfId="2" applyNumberFormat="1" applyFont="1" applyFill="1" applyBorder="1" applyAlignment="1" applyProtection="1">
      <alignment horizontal="center"/>
    </xf>
    <xf numFmtId="171" fontId="20" fillId="2" borderId="8" xfId="2" applyNumberFormat="1" applyFont="1" applyFill="1" applyBorder="1" applyAlignment="1" applyProtection="1">
      <alignment horizontal="center"/>
    </xf>
    <xf numFmtId="0" fontId="20" fillId="3" borderId="6" xfId="3" applyFont="1" applyFill="1" applyBorder="1" applyAlignment="1" applyProtection="1">
      <alignment horizontal="center" vertical="center" wrapText="1"/>
    </xf>
    <xf numFmtId="0" fontId="20" fillId="3" borderId="8" xfId="3" applyFont="1" applyFill="1" applyBorder="1" applyAlignment="1" applyProtection="1">
      <alignment horizontal="center" vertical="center" wrapText="1"/>
    </xf>
    <xf numFmtId="0" fontId="20" fillId="3" borderId="48" xfId="3" applyFont="1" applyFill="1" applyBorder="1" applyAlignment="1" applyProtection="1">
      <alignment horizontal="center" vertical="center" wrapText="1"/>
    </xf>
    <xf numFmtId="0" fontId="5" fillId="3" borderId="6" xfId="3" applyFont="1" applyFill="1" applyBorder="1" applyAlignment="1" applyProtection="1">
      <alignment horizontal="center"/>
    </xf>
    <xf numFmtId="0" fontId="5" fillId="3" borderId="12" xfId="3" applyFont="1" applyFill="1" applyBorder="1" applyAlignment="1" applyProtection="1">
      <alignment horizontal="center"/>
    </xf>
    <xf numFmtId="171" fontId="7" fillId="0" borderId="8" xfId="3" applyNumberFormat="1" applyFont="1" applyBorder="1" applyAlignment="1" applyProtection="1">
      <alignment horizontal="right"/>
    </xf>
    <xf numFmtId="171" fontId="7" fillId="0" borderId="48" xfId="3" applyNumberFormat="1" applyFont="1" applyBorder="1" applyAlignment="1" applyProtection="1">
      <alignment horizontal="right"/>
    </xf>
  </cellXfs>
  <cellStyles count="8">
    <cellStyle name="Comma" xfId="1" builtinId="3"/>
    <cellStyle name="Currency" xfId="2" builtinId="4"/>
    <cellStyle name="Normal" xfId="0" builtinId="0"/>
    <cellStyle name="Normal 2" xfId="3" xr:uid="{00000000-0005-0000-0000-000003000000}"/>
    <cellStyle name="Normal 3" xfId="5" xr:uid="{00000000-0005-0000-0000-000004000000}"/>
    <cellStyle name="Normal 4" xfId="7" xr:uid="{1F1232B7-A3C4-4FE1-B201-2B73730AFB4C}"/>
    <cellStyle name="Normal_Dynamite" xfId="6" xr:uid="{8858AFA9-B448-4EA5-9F17-EB9C2237A18D}"/>
    <cellStyle name="Percent" xfId="4" builtinId="5"/>
  </cellStyles>
  <dxfs count="15">
    <dxf>
      <font>
        <b/>
        <i val="0"/>
        <condense val="0"/>
        <extend val="0"/>
      </font>
      <fill>
        <patternFill>
          <bgColor indexed="47"/>
        </patternFill>
      </fill>
    </dxf>
    <dxf>
      <fill>
        <patternFill>
          <bgColor indexed="47"/>
        </patternFill>
      </fill>
    </dxf>
    <dxf>
      <fill>
        <patternFill>
          <bgColor indexed="10"/>
        </patternFill>
      </fill>
    </dxf>
    <dxf>
      <font>
        <b/>
        <i val="0"/>
        <condense val="0"/>
        <extend val="0"/>
        <color indexed="13"/>
      </font>
      <fill>
        <patternFill>
          <bgColor indexed="10"/>
        </patternFill>
      </fill>
    </dxf>
    <dxf>
      <font>
        <b/>
        <i val="0"/>
        <condense val="0"/>
        <extend val="0"/>
        <color indexed="13"/>
      </font>
      <fill>
        <patternFill>
          <bgColor indexed="10"/>
        </patternFill>
      </fill>
    </dxf>
    <dxf>
      <font>
        <b val="0"/>
        <i val="0"/>
        <strike val="0"/>
        <condense val="0"/>
        <extend val="0"/>
        <outline val="0"/>
        <shadow val="0"/>
        <u val="none"/>
        <vertAlign val="baseline"/>
        <sz val="10"/>
        <color theme="1"/>
        <name val="Calibri"/>
        <family val="2"/>
        <scheme val="minor"/>
      </font>
      <alignment wrapText="0" indent="0" justifyLastLine="0" shrinkToFit="0" readingOrder="0"/>
    </dxf>
    <dxf>
      <font>
        <b val="0"/>
        <i val="0"/>
        <strike val="0"/>
        <condense val="0"/>
        <extend val="0"/>
        <outline val="0"/>
        <shadow val="0"/>
        <u val="none"/>
        <vertAlign val="baseline"/>
        <sz val="10"/>
        <color theme="1"/>
        <name val="Calibri"/>
        <family val="2"/>
        <scheme val="minor"/>
      </font>
      <alignment wrapText="0" indent="0" justifyLastLine="0" shrinkToFit="0" readingOrder="0"/>
    </dxf>
    <dxf>
      <font>
        <b val="0"/>
        <strike val="0"/>
        <outline val="0"/>
        <shadow val="0"/>
        <vertAlign val="baseline"/>
        <sz val="10"/>
        <name val="Calibri"/>
        <family val="2"/>
        <scheme val="minor"/>
      </font>
      <alignment wrapText="0" indent="0" justifyLastLine="0" shrinkToFit="0" readingOrder="0"/>
    </dxf>
    <dxf>
      <font>
        <b val="0"/>
        <i val="0"/>
        <strike val="0"/>
        <condense val="0"/>
        <extend val="0"/>
        <outline val="0"/>
        <shadow val="0"/>
        <u val="none"/>
        <vertAlign val="baseline"/>
        <sz val="10"/>
        <color theme="1"/>
        <name val="Calibri"/>
        <family val="2"/>
        <scheme val="minor"/>
      </font>
      <alignment wrapText="0" indent="0" justifyLastLine="0" shrinkToFit="0" readingOrder="0"/>
    </dxf>
    <dxf>
      <font>
        <b val="0"/>
        <i val="0"/>
        <strike val="0"/>
        <condense val="0"/>
        <extend val="0"/>
        <outline val="0"/>
        <shadow val="0"/>
        <u val="none"/>
        <vertAlign val="baseline"/>
        <sz val="10"/>
        <color theme="1"/>
        <name val="Calibri"/>
        <family val="2"/>
        <scheme val="minor"/>
      </font>
      <alignment wrapText="0" indent="0" justifyLastLine="0" shrinkToFit="0" readingOrder="0"/>
    </dxf>
    <dxf>
      <font>
        <b val="0"/>
        <i val="0"/>
        <strike val="0"/>
        <condense val="0"/>
        <extend val="0"/>
        <outline val="0"/>
        <shadow val="0"/>
        <u val="none"/>
        <vertAlign val="baseline"/>
        <sz val="10"/>
        <color theme="1"/>
        <name val="Calibri"/>
        <family val="2"/>
        <scheme val="minor"/>
      </font>
      <alignment wrapText="0" indent="0" justifyLastLine="0" shrinkToFit="0" readingOrder="0"/>
    </dxf>
    <dxf>
      <font>
        <b val="0"/>
        <i val="0"/>
        <strike val="0"/>
        <condense val="0"/>
        <extend val="0"/>
        <outline val="0"/>
        <shadow val="0"/>
        <u val="none"/>
        <vertAlign val="baseline"/>
        <sz val="10"/>
        <color theme="1"/>
        <name val="Calibri"/>
        <family val="2"/>
        <scheme val="minor"/>
      </font>
      <alignment wrapText="0" indent="0" justifyLastLine="0" shrinkToFit="0" readingOrder="0"/>
    </dxf>
    <dxf>
      <font>
        <b val="0"/>
        <strike val="0"/>
        <outline val="0"/>
        <shadow val="0"/>
        <vertAlign val="baseline"/>
        <sz val="10"/>
        <name val="Calibri"/>
        <family val="2"/>
        <scheme val="minor"/>
      </font>
      <alignment wrapText="0" indent="0" justifyLastLine="0" shrinkToFit="0" readingOrder="0"/>
    </dxf>
    <dxf>
      <font>
        <b val="0"/>
        <i val="0"/>
        <strike val="0"/>
        <condense val="0"/>
        <extend val="0"/>
        <outline val="0"/>
        <shadow val="0"/>
        <u val="none"/>
        <vertAlign val="baseline"/>
        <sz val="10"/>
        <color rgb="FF000000"/>
        <name val="Calibri"/>
        <family val="2"/>
        <scheme val="minor"/>
      </font>
      <alignment wrapText="0" indent="0" justifyLastLine="0" shrinkToFit="0" readingOrder="0"/>
    </dxf>
    <dxf>
      <font>
        <b val="0"/>
        <strike val="0"/>
        <outline val="0"/>
        <shadow val="0"/>
        <vertAlign val="baseline"/>
        <sz val="10"/>
        <name val="Calibri"/>
        <family val="2"/>
        <scheme val="minor"/>
      </font>
      <alignment wrapText="0" indent="0" justifyLastLine="0" shrinkToFit="0" readingOrder="0"/>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7C80"/>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17</xdr:col>
      <xdr:colOff>0</xdr:colOff>
      <xdr:row>153</xdr:row>
      <xdr:rowOff>28575</xdr:rowOff>
    </xdr:from>
    <xdr:to>
      <xdr:col>17</xdr:col>
      <xdr:colOff>66675</xdr:colOff>
      <xdr:row>154</xdr:row>
      <xdr:rowOff>28575</xdr:rowOff>
    </xdr:to>
    <xdr:sp macro="" textlink="">
      <xdr:nvSpPr>
        <xdr:cNvPr id="2" name="Text Box 9">
          <a:extLst>
            <a:ext uri="{FF2B5EF4-FFF2-40B4-BE49-F238E27FC236}">
              <a16:creationId xmlns:a16="http://schemas.microsoft.com/office/drawing/2014/main" id="{00000000-0008-0000-0000-000002000000}"/>
            </a:ext>
          </a:extLst>
        </xdr:cNvPr>
        <xdr:cNvSpPr txBox="1">
          <a:spLocks noChangeArrowheads="1"/>
        </xdr:cNvSpPr>
      </xdr:nvSpPr>
      <xdr:spPr bwMode="auto">
        <a:xfrm>
          <a:off x="8846820" y="16693515"/>
          <a:ext cx="66675" cy="161925"/>
        </a:xfrm>
        <a:prstGeom prst="rect">
          <a:avLst/>
        </a:prstGeom>
        <a:noFill/>
        <a:ln w="9525">
          <a:noFill/>
          <a:miter lim="800000"/>
          <a:headEnd/>
          <a:tailEnd/>
        </a:ln>
      </xdr:spPr>
    </xdr:sp>
    <xdr:clientData/>
  </xdr:twoCellAnchor>
  <xdr:oneCellAnchor>
    <xdr:from>
      <xdr:col>8</xdr:col>
      <xdr:colOff>1</xdr:colOff>
      <xdr:row>238</xdr:row>
      <xdr:rowOff>152133</xdr:rowOff>
    </xdr:from>
    <xdr:ext cx="7162800" cy="948533"/>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624841" y="32582853"/>
          <a:ext cx="7162800" cy="948533"/>
        </a:xfrm>
        <a:prstGeom prst="rect">
          <a:avLst/>
        </a:prstGeom>
        <a:noFill/>
        <a:ln w="1270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US" sz="1100"/>
        </a:p>
      </xdr:txBody>
    </xdr:sp>
    <xdr:clientData/>
  </xdr:oneCellAnchor>
  <xdr:twoCellAnchor editAs="absolute">
    <xdr:from>
      <xdr:col>39</xdr:col>
      <xdr:colOff>94285</xdr:colOff>
      <xdr:row>136</xdr:row>
      <xdr:rowOff>101298</xdr:rowOff>
    </xdr:from>
    <xdr:to>
      <xdr:col>44</xdr:col>
      <xdr:colOff>15891</xdr:colOff>
      <xdr:row>140</xdr:row>
      <xdr:rowOff>18237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37188" y="21991653"/>
          <a:ext cx="810261" cy="564639"/>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32" displayName="Table132" ref="S185:Z194" totalsRowShown="0" headerRowDxfId="14" dataDxfId="13">
  <autoFilter ref="S185:Z194" xr:uid="{00000000-0009-0000-0100-000001000000}"/>
  <tableColumns count="8">
    <tableColumn id="1" xr3:uid="{00000000-0010-0000-0000-000001000000}" name="DESCRIPTION" dataDxfId="12"/>
    <tableColumn id="2" xr3:uid="{00000000-0010-0000-0000-000002000000}" name="SYSTEM" dataDxfId="11"/>
    <tableColumn id="3" xr3:uid="{00000000-0010-0000-0000-000003000000}" name="BOX" dataDxfId="10"/>
    <tableColumn id="4" xr3:uid="{00000000-0010-0000-0000-000004000000}" name="BATTERY" dataDxfId="9"/>
    <tableColumn id="5" xr3:uid="{00000000-0010-0000-0000-000005000000}" name="CABLE" dataDxfId="8"/>
    <tableColumn id="6" xr3:uid="{00000000-0010-0000-0000-000006000000}" name="GEOPHONE" dataDxfId="7"/>
    <tableColumn id="7" xr3:uid="{00000000-0010-0000-0000-000007000000}" name="BLASTERS" dataDxfId="6"/>
    <tableColumn id="8" xr3:uid="{00000000-0010-0000-0000-000008000000}" name="VIBRATORS" dataDxfId="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P238"/>
  <sheetViews>
    <sheetView showZeros="0" tabSelected="1" view="pageBreakPreview" zoomScaleNormal="85" zoomScaleSheetLayoutView="100" workbookViewId="0">
      <selection activeCell="L17" sqref="L17"/>
    </sheetView>
  </sheetViews>
  <sheetFormatPr defaultColWidth="3.33203125" defaultRowHeight="12.75" customHeight="1"/>
  <cols>
    <col min="1" max="8" width="3.33203125" style="659"/>
    <col min="9" max="9" width="3.33203125" style="668"/>
    <col min="10" max="14" width="3.33203125" style="659"/>
    <col min="15" max="16" width="3.33203125" style="666"/>
    <col min="17" max="16384" width="3.33203125" style="659"/>
  </cols>
  <sheetData>
    <row r="1" spans="1:63" ht="12.75" customHeight="1">
      <c r="B1" s="660"/>
      <c r="E1" s="661" t="s">
        <v>0</v>
      </c>
      <c r="I1" s="659"/>
      <c r="O1" s="659"/>
      <c r="P1" s="659"/>
      <c r="U1" s="661" t="s">
        <v>3</v>
      </c>
      <c r="V1" s="1052">
        <v>10</v>
      </c>
      <c r="W1" s="1052"/>
      <c r="X1" s="1052"/>
      <c r="Y1" s="660" t="s">
        <v>636</v>
      </c>
      <c r="Z1" s="660"/>
      <c r="AA1" s="660"/>
      <c r="AG1" s="661" t="s">
        <v>6</v>
      </c>
      <c r="AH1" s="970">
        <v>0</v>
      </c>
      <c r="AI1" s="970"/>
      <c r="AJ1" s="970"/>
      <c r="AK1" s="660" t="s">
        <v>636</v>
      </c>
      <c r="AL1" s="662"/>
      <c r="AM1" s="662"/>
      <c r="AN1" s="662"/>
      <c r="AO1" s="662"/>
      <c r="AU1" s="661" t="s">
        <v>15</v>
      </c>
      <c r="AV1" s="667">
        <v>0</v>
      </c>
      <c r="AW1" s="660" t="s">
        <v>637</v>
      </c>
      <c r="BB1" s="984"/>
      <c r="BC1" s="660"/>
      <c r="BD1" s="660"/>
      <c r="BE1" s="660"/>
      <c r="BF1" s="660"/>
      <c r="BG1" s="660"/>
      <c r="BH1" s="660"/>
      <c r="BI1" s="660"/>
      <c r="BJ1" s="660"/>
      <c r="BK1" s="660"/>
    </row>
    <row r="2" spans="1:63" ht="12.75" customHeight="1">
      <c r="A2" s="660"/>
      <c r="C2" s="660"/>
      <c r="E2" s="661" t="s">
        <v>261</v>
      </c>
      <c r="F2" s="661"/>
      <c r="G2" s="660"/>
      <c r="H2" s="660"/>
      <c r="I2" s="660"/>
      <c r="J2" s="660"/>
      <c r="K2" s="660"/>
      <c r="L2" s="660"/>
      <c r="M2" s="663"/>
      <c r="N2" s="664"/>
      <c r="O2" s="659"/>
      <c r="P2" s="659"/>
      <c r="Q2" s="665"/>
      <c r="U2" s="661" t="s">
        <v>639</v>
      </c>
      <c r="V2" s="1052">
        <v>1</v>
      </c>
      <c r="W2" s="1052"/>
      <c r="X2" s="1052"/>
      <c r="Y2" s="660" t="s">
        <v>637</v>
      </c>
      <c r="AG2" s="661" t="s">
        <v>8</v>
      </c>
      <c r="AH2" s="970"/>
      <c r="AI2" s="970"/>
      <c r="AJ2" s="970"/>
      <c r="AK2" s="660" t="s">
        <v>637</v>
      </c>
      <c r="AU2" s="669" t="s">
        <v>642</v>
      </c>
      <c r="AV2" s="670">
        <v>0</v>
      </c>
      <c r="AW2" s="660" t="s">
        <v>641</v>
      </c>
    </row>
    <row r="3" spans="1:63" ht="12.75" customHeight="1">
      <c r="A3" s="660"/>
      <c r="B3" s="660"/>
      <c r="C3" s="660"/>
      <c r="E3" s="661" t="s">
        <v>288</v>
      </c>
      <c r="F3" s="660"/>
      <c r="G3" s="660"/>
      <c r="H3" s="660"/>
      <c r="I3" s="660"/>
      <c r="J3" s="660"/>
      <c r="K3" s="660"/>
      <c r="L3" s="661"/>
      <c r="M3" s="664"/>
      <c r="N3" s="663"/>
      <c r="U3" s="661" t="s">
        <v>9</v>
      </c>
      <c r="V3" s="1052">
        <v>1</v>
      </c>
      <c r="W3" s="1052"/>
      <c r="X3" s="1052"/>
      <c r="Y3" s="660" t="s">
        <v>637</v>
      </c>
      <c r="AG3" s="661" t="s">
        <v>10</v>
      </c>
      <c r="AH3" s="970"/>
      <c r="AI3" s="970"/>
      <c r="AJ3" s="970"/>
      <c r="AK3" s="660" t="s">
        <v>637</v>
      </c>
      <c r="AU3" s="661" t="s">
        <v>17</v>
      </c>
      <c r="AV3" s="967" t="s">
        <v>97</v>
      </c>
      <c r="AW3" s="660"/>
      <c r="BG3" s="660"/>
      <c r="BH3" s="660"/>
      <c r="BI3" s="660"/>
      <c r="BJ3" s="660"/>
      <c r="BK3" s="660"/>
    </row>
    <row r="4" spans="1:63" ht="12.75" customHeight="1">
      <c r="B4" s="660"/>
      <c r="C4" s="660"/>
      <c r="E4" s="661" t="s">
        <v>2</v>
      </c>
      <c r="F4" s="723" t="s">
        <v>177</v>
      </c>
      <c r="U4" s="661" t="s">
        <v>640</v>
      </c>
      <c r="V4" s="1052">
        <v>10</v>
      </c>
      <c r="W4" s="1052"/>
      <c r="X4" s="1052"/>
      <c r="Y4" s="660"/>
      <c r="AG4" s="661" t="s">
        <v>647</v>
      </c>
      <c r="AH4" s="970"/>
      <c r="AI4" s="970"/>
      <c r="AJ4" s="970"/>
      <c r="AU4" s="682" t="s">
        <v>666</v>
      </c>
      <c r="BG4" s="660"/>
      <c r="BH4" s="984"/>
      <c r="BI4" s="985"/>
      <c r="BJ4" s="660"/>
      <c r="BK4" s="660"/>
    </row>
    <row r="5" spans="1:63" ht="12.75" customHeight="1">
      <c r="B5" s="660"/>
      <c r="E5" s="661" t="s">
        <v>1</v>
      </c>
      <c r="I5" s="659"/>
      <c r="O5" s="659"/>
      <c r="P5" s="659"/>
      <c r="U5" s="661" t="s">
        <v>12</v>
      </c>
      <c r="V5" s="1053">
        <f>(ROUNDUP(IF(V1=0,(F6/V2)*1000,IF(V1&gt;0,(V1/V2)*1000)),-0.1))+V4</f>
        <v>10010</v>
      </c>
      <c r="W5" s="1053"/>
      <c r="X5" s="1053"/>
      <c r="Y5" s="660"/>
      <c r="AG5" s="669" t="s">
        <v>652</v>
      </c>
      <c r="AH5" s="1053" t="e">
        <f>ROUNDUP(((AH1/AH2)*1000)+#REF!,-0.1)+(#REF!*AV6)</f>
        <v>#DIV/0!</v>
      </c>
      <c r="AI5" s="1053"/>
      <c r="AJ5" s="1053"/>
      <c r="AU5" s="661" t="s">
        <v>14</v>
      </c>
      <c r="AV5" s="967">
        <v>1</v>
      </c>
      <c r="BG5" s="660"/>
      <c r="BH5" s="660"/>
      <c r="BI5" s="660"/>
      <c r="BJ5" s="660"/>
      <c r="BK5" s="660"/>
    </row>
    <row r="6" spans="1:63" ht="12.75" customHeight="1">
      <c r="B6" s="660"/>
      <c r="E6" s="682" t="s">
        <v>655</v>
      </c>
      <c r="F6" s="975"/>
      <c r="O6" s="659"/>
      <c r="P6" s="659"/>
      <c r="AU6" s="661" t="s">
        <v>16</v>
      </c>
      <c r="AV6" s="720">
        <v>0</v>
      </c>
      <c r="BG6" s="660"/>
      <c r="BH6" s="660"/>
      <c r="BI6" s="660"/>
      <c r="BJ6" s="660"/>
      <c r="BK6" s="660"/>
    </row>
    <row r="7" spans="1:63" ht="12.75" customHeight="1">
      <c r="B7" s="660"/>
      <c r="C7" s="660"/>
      <c r="E7" s="682" t="s">
        <v>656</v>
      </c>
      <c r="F7" s="660"/>
      <c r="J7" s="660"/>
      <c r="R7" s="1040" t="s">
        <v>670</v>
      </c>
      <c r="S7" s="1040"/>
      <c r="T7" s="1040"/>
      <c r="U7" s="1040"/>
      <c r="V7" s="1040"/>
      <c r="W7" s="1040"/>
      <c r="X7" s="1040"/>
      <c r="Y7" s="1040"/>
    </row>
    <row r="8" spans="1:63" ht="12.75" customHeight="1">
      <c r="B8" s="660"/>
      <c r="C8" s="660"/>
      <c r="T8" s="968"/>
      <c r="U8" s="661" t="s">
        <v>638</v>
      </c>
      <c r="AU8" s="1009" t="s">
        <v>689</v>
      </c>
    </row>
    <row r="9" spans="1:63" ht="12.75" customHeight="1">
      <c r="B9" s="660"/>
      <c r="C9" s="660"/>
      <c r="U9" s="661" t="s">
        <v>690</v>
      </c>
      <c r="V9" s="660">
        <v>1</v>
      </c>
      <c r="W9" s="660"/>
      <c r="X9" s="659" t="s">
        <v>249</v>
      </c>
      <c r="AU9" s="1008" t="s">
        <v>686</v>
      </c>
    </row>
    <row r="10" spans="1:63" ht="12.75" customHeight="1">
      <c r="B10" s="660"/>
      <c r="C10" s="660"/>
      <c r="U10" s="1012" t="s">
        <v>691</v>
      </c>
      <c r="V10" s="1010">
        <v>30</v>
      </c>
      <c r="W10" s="1010"/>
      <c r="X10" s="659" t="s">
        <v>246</v>
      </c>
      <c r="AU10" s="704" t="s">
        <v>34</v>
      </c>
    </row>
    <row r="11" spans="1:63" ht="12.75" customHeight="1">
      <c r="B11" s="660"/>
      <c r="C11" s="660"/>
      <c r="U11" s="1012" t="s">
        <v>692</v>
      </c>
      <c r="V11" s="1010">
        <v>24</v>
      </c>
      <c r="W11" s="1010"/>
      <c r="X11" s="659" t="s">
        <v>658</v>
      </c>
      <c r="AU11" s="1008" t="s">
        <v>36</v>
      </c>
    </row>
    <row r="12" spans="1:63" ht="12.75" customHeight="1">
      <c r="U12" s="1009" t="s">
        <v>693</v>
      </c>
      <c r="V12" s="1010">
        <v>7</v>
      </c>
      <c r="W12" s="1010"/>
      <c r="X12" s="1011" t="s">
        <v>668</v>
      </c>
      <c r="Y12" s="1011"/>
      <c r="AU12" s="1008" t="s">
        <v>35</v>
      </c>
    </row>
    <row r="14" spans="1:63" ht="12.75" customHeight="1">
      <c r="AU14" s="1008" t="s">
        <v>688</v>
      </c>
    </row>
    <row r="15" spans="1:63" ht="12.75" customHeight="1">
      <c r="AU15" s="760" t="s">
        <v>161</v>
      </c>
    </row>
    <row r="16" spans="1:63" ht="12.75" customHeight="1">
      <c r="B16" s="660"/>
      <c r="C16" s="660"/>
      <c r="E16" s="1008" t="s">
        <v>687</v>
      </c>
      <c r="F16" s="967"/>
      <c r="G16" s="967"/>
      <c r="H16" s="967"/>
      <c r="I16" s="659"/>
      <c r="O16" s="659"/>
      <c r="P16" s="659"/>
      <c r="AU16" s="661" t="s">
        <v>140</v>
      </c>
    </row>
    <row r="17" spans="1:64" ht="12.75" customHeight="1">
      <c r="B17" s="660"/>
      <c r="C17" s="660"/>
      <c r="E17" s="682" t="s">
        <v>649</v>
      </c>
      <c r="F17" s="967">
        <v>10</v>
      </c>
      <c r="G17" s="967"/>
      <c r="H17" s="967"/>
      <c r="I17" s="668" t="s">
        <v>650</v>
      </c>
      <c r="K17" s="968" t="s">
        <v>22</v>
      </c>
      <c r="L17" s="1013">
        <v>100</v>
      </c>
      <c r="M17" s="970"/>
      <c r="N17" s="970"/>
      <c r="O17" s="659" t="s">
        <v>651</v>
      </c>
      <c r="P17" s="659"/>
      <c r="R17" s="659" t="s">
        <v>53</v>
      </c>
      <c r="S17" s="970"/>
      <c r="T17" s="970"/>
      <c r="U17" s="970"/>
      <c r="V17" s="659" t="s">
        <v>651</v>
      </c>
      <c r="AU17" s="760" t="s">
        <v>643</v>
      </c>
      <c r="AV17" s="1014"/>
    </row>
    <row r="18" spans="1:64" ht="12.75" customHeight="1">
      <c r="B18" s="660"/>
      <c r="C18" s="660"/>
      <c r="E18" s="1008" t="s">
        <v>685</v>
      </c>
      <c r="F18" s="967" t="s">
        <v>97</v>
      </c>
      <c r="G18" s="967"/>
      <c r="H18" s="967"/>
      <c r="I18" s="659"/>
      <c r="O18" s="659"/>
      <c r="P18" s="659"/>
      <c r="R18" s="682" t="s">
        <v>648</v>
      </c>
      <c r="S18" s="970"/>
      <c r="T18" s="970"/>
      <c r="U18" s="970"/>
      <c r="AU18" s="1007"/>
      <c r="AV18" s="1014"/>
    </row>
    <row r="19" spans="1:64" ht="12.75" customHeight="1">
      <c r="B19" s="660"/>
      <c r="C19" s="660"/>
      <c r="F19" s="967"/>
      <c r="G19" s="967"/>
      <c r="H19" s="967"/>
      <c r="I19" s="659"/>
      <c r="O19" s="659"/>
      <c r="P19" s="659"/>
      <c r="Q19" s="1008"/>
      <c r="AU19" s="1007"/>
      <c r="AV19" s="1014"/>
    </row>
    <row r="20" spans="1:64" ht="12.75" customHeight="1">
      <c r="B20" s="660"/>
      <c r="C20" s="660"/>
      <c r="E20" s="1008"/>
      <c r="F20" s="967"/>
      <c r="G20" s="967"/>
      <c r="H20" s="967"/>
      <c r="I20" s="659"/>
      <c r="O20" s="659"/>
      <c r="P20" s="659"/>
      <c r="Q20" s="1008"/>
      <c r="AU20" s="1007"/>
      <c r="AV20" s="1014"/>
    </row>
    <row r="21" spans="1:64" ht="12.75" customHeight="1">
      <c r="A21" s="1054"/>
      <c r="B21" s="1054"/>
      <c r="C21" s="1054"/>
      <c r="D21" s="1054"/>
      <c r="E21" s="1054"/>
      <c r="F21" s="1054"/>
      <c r="G21" s="1054"/>
      <c r="H21" s="1054"/>
      <c r="I21" s="1054"/>
      <c r="J21" s="1054"/>
      <c r="K21" s="1054"/>
      <c r="L21" s="1054"/>
      <c r="M21" s="1054"/>
      <c r="N21" s="1054"/>
      <c r="O21" s="1054"/>
      <c r="P21" s="1054"/>
      <c r="Q21" s="1054"/>
      <c r="R21" s="1054"/>
      <c r="S21" s="1054"/>
      <c r="T21" s="1054"/>
      <c r="U21" s="1054"/>
      <c r="V21" s="1054"/>
      <c r="W21" s="1054"/>
      <c r="X21" s="1054"/>
      <c r="Y21" s="1054"/>
      <c r="Z21" s="1054"/>
      <c r="AA21" s="1054"/>
      <c r="AB21" s="1054"/>
      <c r="AC21" s="1054"/>
      <c r="AD21" s="1054"/>
      <c r="AE21" s="1054"/>
      <c r="AF21" s="1054"/>
      <c r="AG21" s="1054"/>
      <c r="AH21" s="1054"/>
      <c r="AI21" s="1054"/>
      <c r="AJ21" s="1054"/>
      <c r="AK21" s="1054"/>
      <c r="AL21" s="1054"/>
      <c r="AM21" s="1054"/>
      <c r="AN21" s="1054"/>
      <c r="AO21" s="1054"/>
      <c r="AP21" s="1054"/>
      <c r="AQ21" s="1054"/>
      <c r="AR21" s="1054"/>
      <c r="AS21" s="1054"/>
      <c r="AT21" s="1054"/>
      <c r="AU21" s="1054"/>
      <c r="AV21" s="1054"/>
      <c r="AW21" s="1054"/>
      <c r="AX21" s="1054"/>
      <c r="AY21" s="1054"/>
      <c r="AZ21" s="1054"/>
    </row>
    <row r="22" spans="1:64" ht="12.75" customHeight="1">
      <c r="C22" s="660"/>
      <c r="D22" s="660"/>
      <c r="E22" s="660"/>
      <c r="F22" s="660"/>
      <c r="G22" s="660"/>
      <c r="H22" s="660"/>
      <c r="I22" s="671"/>
      <c r="J22" s="660"/>
      <c r="K22" s="660"/>
      <c r="L22" s="660"/>
      <c r="M22" s="660"/>
      <c r="N22" s="660"/>
      <c r="O22" s="660"/>
      <c r="P22" s="972"/>
      <c r="Q22" s="660"/>
    </row>
    <row r="23" spans="1:64" ht="12.75" customHeight="1">
      <c r="A23" s="726" t="s">
        <v>116</v>
      </c>
      <c r="B23" s="726" t="s">
        <v>569</v>
      </c>
      <c r="C23" s="1055" t="s">
        <v>102</v>
      </c>
      <c r="D23" s="1055"/>
      <c r="E23" s="1055"/>
      <c r="F23" s="1055"/>
      <c r="G23" s="1055"/>
      <c r="H23" s="1055"/>
      <c r="I23" s="1055"/>
      <c r="J23" s="1055"/>
      <c r="K23" s="730" t="s">
        <v>669</v>
      </c>
      <c r="L23" s="730"/>
      <c r="M23" s="730"/>
      <c r="N23" s="1055" t="s">
        <v>100</v>
      </c>
      <c r="O23" s="1055"/>
      <c r="P23" s="1055"/>
      <c r="Q23" s="1055"/>
      <c r="R23" s="1049" t="s">
        <v>646</v>
      </c>
      <c r="S23" s="1049"/>
      <c r="T23" s="1049"/>
      <c r="U23" s="1049"/>
      <c r="V23" s="1043" t="s">
        <v>109</v>
      </c>
      <c r="W23" s="1043"/>
      <c r="X23" s="1043"/>
      <c r="Y23" s="1043"/>
      <c r="Z23" s="1043" t="s">
        <v>683</v>
      </c>
      <c r="AA23" s="1043"/>
      <c r="AB23" s="1043"/>
      <c r="AC23" s="1043"/>
      <c r="AD23" s="1043" t="s">
        <v>684</v>
      </c>
      <c r="AE23" s="1043"/>
      <c r="AF23" s="1043"/>
      <c r="AG23" s="1043"/>
      <c r="AH23" s="1043"/>
      <c r="AI23" s="1043"/>
      <c r="AJ23" s="1043"/>
      <c r="AK23" s="1043"/>
      <c r="BA23" s="660"/>
      <c r="BB23" s="660"/>
      <c r="BC23" s="660"/>
      <c r="BD23" s="660"/>
      <c r="BE23" s="660"/>
      <c r="BF23" s="660"/>
      <c r="BG23" s="660"/>
      <c r="BH23" s="660"/>
      <c r="BI23" s="660"/>
      <c r="BJ23" s="660"/>
      <c r="BK23" s="660"/>
      <c r="BL23" s="660"/>
    </row>
    <row r="24" spans="1:64" ht="12.75" customHeight="1">
      <c r="A24" s="687" t="s">
        <v>22</v>
      </c>
      <c r="B24" s="687" t="s">
        <v>22</v>
      </c>
      <c r="C24" s="1044" t="s">
        <v>23</v>
      </c>
      <c r="D24" s="1044"/>
      <c r="E24" s="1044"/>
      <c r="F24" s="1044"/>
      <c r="G24" s="1044"/>
      <c r="H24" s="1044"/>
      <c r="I24" s="1044"/>
      <c r="J24" s="1044"/>
      <c r="K24" s="1051">
        <v>2</v>
      </c>
      <c r="L24" s="1051"/>
      <c r="M24" s="1051"/>
      <c r="N24" s="1036">
        <v>800</v>
      </c>
      <c r="O24" s="1036"/>
      <c r="P24" s="1036"/>
      <c r="Q24" s="1036"/>
      <c r="R24" s="1034">
        <f>K24*N24</f>
        <v>1600</v>
      </c>
      <c r="S24" s="1034"/>
      <c r="T24" s="1034"/>
      <c r="U24" s="1034"/>
      <c r="V24" s="1034">
        <f>R24/$AW$24</f>
        <v>123.07692307692308</v>
      </c>
      <c r="W24" s="1034"/>
      <c r="X24" s="1034"/>
      <c r="Y24" s="1034"/>
      <c r="Z24" s="1034">
        <f>IF($AW$26=0,0,IF(B24="x",R24/$AW$26,0))*(AW27/100)</f>
        <v>133.33333333333334</v>
      </c>
      <c r="AA24" s="1034"/>
      <c r="AB24" s="1034"/>
      <c r="AC24" s="1034"/>
      <c r="AD24" s="1034">
        <f>V24*0.8</f>
        <v>98.461538461538467</v>
      </c>
      <c r="AE24" s="1034"/>
      <c r="AF24" s="1034"/>
      <c r="AG24" s="1034"/>
      <c r="AQ24" s="660"/>
      <c r="AR24" s="660"/>
      <c r="AS24" s="660"/>
      <c r="AT24" s="660"/>
      <c r="AU24" s="660"/>
      <c r="AV24" s="661" t="s">
        <v>104</v>
      </c>
      <c r="AW24" s="1038">
        <v>13</v>
      </c>
      <c r="AX24" s="1038"/>
      <c r="AY24" s="660" t="s">
        <v>658</v>
      </c>
      <c r="BA24" s="660"/>
      <c r="BB24" s="660"/>
      <c r="BC24" s="660"/>
      <c r="BD24" s="660"/>
    </row>
    <row r="25" spans="1:64" ht="12.75" customHeight="1">
      <c r="A25" s="687" t="s">
        <v>22</v>
      </c>
      <c r="B25" s="687" t="s">
        <v>22</v>
      </c>
      <c r="C25" s="1044" t="s">
        <v>101</v>
      </c>
      <c r="D25" s="1044"/>
      <c r="E25" s="1044"/>
      <c r="F25" s="1044"/>
      <c r="G25" s="1044"/>
      <c r="H25" s="1044"/>
      <c r="I25" s="1044"/>
      <c r="J25" s="1044"/>
      <c r="K25" s="1051"/>
      <c r="L25" s="1051"/>
      <c r="M25" s="1051"/>
      <c r="N25" s="1036">
        <v>650</v>
      </c>
      <c r="O25" s="1036"/>
      <c r="P25" s="1036"/>
      <c r="Q25" s="1036"/>
      <c r="R25" s="1034">
        <f t="shared" ref="R25:R43" si="0">K25*N25</f>
        <v>0</v>
      </c>
      <c r="S25" s="1034"/>
      <c r="T25" s="1034"/>
      <c r="U25" s="1034"/>
      <c r="V25" s="1034">
        <f t="shared" ref="V25:V43" si="1">R25/$AW$24</f>
        <v>0</v>
      </c>
      <c r="W25" s="1034"/>
      <c r="X25" s="1034"/>
      <c r="Y25" s="1034"/>
      <c r="Z25" s="1028"/>
      <c r="AA25" s="1028"/>
      <c r="AB25" s="1028"/>
      <c r="AC25" s="1028"/>
      <c r="AQ25" s="660"/>
      <c r="AR25" s="660"/>
      <c r="AS25" s="660"/>
      <c r="AT25" s="660"/>
      <c r="AU25" s="660"/>
      <c r="AV25" s="661" t="s">
        <v>105</v>
      </c>
      <c r="AW25" s="1038"/>
      <c r="AX25" s="1038"/>
      <c r="AY25" s="660" t="s">
        <v>658</v>
      </c>
      <c r="AZ25" s="726"/>
      <c r="BA25" s="660"/>
      <c r="BB25" s="660"/>
      <c r="BC25" s="660"/>
      <c r="BD25" s="660"/>
    </row>
    <row r="26" spans="1:64" ht="12.75" customHeight="1">
      <c r="A26" s="687" t="s">
        <v>22</v>
      </c>
      <c r="B26" s="687" t="s">
        <v>22</v>
      </c>
      <c r="C26" s="1044" t="s">
        <v>283</v>
      </c>
      <c r="D26" s="1044"/>
      <c r="E26" s="1044"/>
      <c r="F26" s="1044"/>
      <c r="G26" s="1044"/>
      <c r="H26" s="1044"/>
      <c r="I26" s="1044"/>
      <c r="J26" s="1044"/>
      <c r="K26" s="1051"/>
      <c r="L26" s="1051"/>
      <c r="M26" s="1051"/>
      <c r="N26" s="1036">
        <v>650</v>
      </c>
      <c r="O26" s="1036"/>
      <c r="P26" s="1036"/>
      <c r="Q26" s="1036"/>
      <c r="R26" s="1034">
        <f t="shared" si="0"/>
        <v>0</v>
      </c>
      <c r="S26" s="1034"/>
      <c r="T26" s="1034"/>
      <c r="U26" s="1034"/>
      <c r="V26" s="1034">
        <f t="shared" si="1"/>
        <v>0</v>
      </c>
      <c r="W26" s="1034"/>
      <c r="X26" s="1034"/>
      <c r="Y26" s="1034"/>
      <c r="Z26" s="1028"/>
      <c r="AA26" s="1028"/>
      <c r="AB26" s="1028"/>
      <c r="AC26" s="1028"/>
      <c r="AQ26" s="660"/>
      <c r="AR26" s="660"/>
      <c r="AS26" s="660"/>
      <c r="AT26" s="660"/>
      <c r="AU26" s="660"/>
      <c r="AV26" s="661" t="s">
        <v>287</v>
      </c>
      <c r="AW26" s="1038">
        <v>12</v>
      </c>
      <c r="AX26" s="1038"/>
      <c r="AY26" s="660" t="s">
        <v>658</v>
      </c>
      <c r="BA26" s="660"/>
      <c r="BB26" s="660"/>
      <c r="BC26" s="660"/>
      <c r="BD26" s="660"/>
    </row>
    <row r="27" spans="1:64" ht="12.75" customHeight="1">
      <c r="A27" s="687" t="s">
        <v>22</v>
      </c>
      <c r="B27" s="687" t="s">
        <v>22</v>
      </c>
      <c r="C27" s="1044" t="s">
        <v>269</v>
      </c>
      <c r="D27" s="1044"/>
      <c r="E27" s="1044"/>
      <c r="F27" s="1044"/>
      <c r="G27" s="1044"/>
      <c r="H27" s="1044"/>
      <c r="I27" s="1044"/>
      <c r="J27" s="1044"/>
      <c r="K27" s="1051"/>
      <c r="L27" s="1051"/>
      <c r="M27" s="1051"/>
      <c r="N27" s="1036">
        <v>650</v>
      </c>
      <c r="O27" s="1036"/>
      <c r="P27" s="1036"/>
      <c r="Q27" s="1036"/>
      <c r="R27" s="1034">
        <f>K31*N31</f>
        <v>0</v>
      </c>
      <c r="S27" s="1034"/>
      <c r="T27" s="1034"/>
      <c r="U27" s="1034"/>
      <c r="V27" s="1034">
        <f t="shared" si="1"/>
        <v>0</v>
      </c>
      <c r="W27" s="1034"/>
      <c r="X27" s="1034"/>
      <c r="Y27" s="1034"/>
      <c r="Z27" s="1028"/>
      <c r="AA27" s="1028"/>
      <c r="AB27" s="1028"/>
      <c r="AC27" s="1028"/>
      <c r="AQ27" s="660"/>
      <c r="AR27" s="660"/>
      <c r="AS27" s="660"/>
      <c r="AT27" s="660"/>
      <c r="AU27" s="660"/>
      <c r="AV27" s="661" t="s">
        <v>657</v>
      </c>
      <c r="AW27" s="1038">
        <v>100</v>
      </c>
      <c r="AX27" s="1038"/>
      <c r="AY27" s="660" t="s">
        <v>517</v>
      </c>
      <c r="BA27" s="660"/>
      <c r="BB27" s="660"/>
      <c r="BC27" s="660"/>
      <c r="BD27" s="660"/>
    </row>
    <row r="28" spans="1:64" ht="12.75" customHeight="1">
      <c r="A28" s="687" t="s">
        <v>22</v>
      </c>
      <c r="B28" s="687" t="s">
        <v>22</v>
      </c>
      <c r="C28" s="1044" t="s">
        <v>270</v>
      </c>
      <c r="D28" s="1044"/>
      <c r="E28" s="1044"/>
      <c r="F28" s="1044"/>
      <c r="G28" s="1044"/>
      <c r="H28" s="1044"/>
      <c r="I28" s="1044"/>
      <c r="J28" s="1044"/>
      <c r="K28" s="1051"/>
      <c r="L28" s="1051"/>
      <c r="M28" s="1051"/>
      <c r="N28" s="1036">
        <v>600</v>
      </c>
      <c r="O28" s="1036"/>
      <c r="P28" s="1036"/>
      <c r="Q28" s="1036"/>
      <c r="R28" s="1034">
        <f>K29*N29</f>
        <v>0</v>
      </c>
      <c r="S28" s="1034"/>
      <c r="T28" s="1034"/>
      <c r="U28" s="1034"/>
      <c r="V28" s="1034">
        <f t="shared" si="1"/>
        <v>0</v>
      </c>
      <c r="W28" s="1034"/>
      <c r="X28" s="1034"/>
      <c r="Y28" s="1034"/>
      <c r="Z28" s="1028"/>
      <c r="AA28" s="1028"/>
      <c r="AB28" s="1028"/>
      <c r="AC28" s="1028"/>
      <c r="AQ28" s="660"/>
      <c r="AR28" s="660"/>
      <c r="AS28" s="660"/>
      <c r="AT28" s="660"/>
      <c r="AU28" s="660"/>
      <c r="AV28" s="660"/>
      <c r="AW28" s="660"/>
      <c r="AX28" s="660"/>
      <c r="AY28" s="660"/>
      <c r="BA28" s="660"/>
      <c r="BB28" s="660"/>
      <c r="BC28" s="660"/>
      <c r="BD28" s="660"/>
    </row>
    <row r="29" spans="1:64" ht="12.75" customHeight="1">
      <c r="A29" s="687" t="s">
        <v>22</v>
      </c>
      <c r="B29" s="687" t="s">
        <v>22</v>
      </c>
      <c r="C29" s="1044" t="s">
        <v>25</v>
      </c>
      <c r="D29" s="1044"/>
      <c r="E29" s="1044"/>
      <c r="F29" s="1044"/>
      <c r="G29" s="1044"/>
      <c r="H29" s="1044"/>
      <c r="I29" s="1044"/>
      <c r="J29" s="1044"/>
      <c r="K29" s="1051"/>
      <c r="L29" s="1051"/>
      <c r="M29" s="1051"/>
      <c r="N29" s="1036">
        <v>600</v>
      </c>
      <c r="O29" s="1036"/>
      <c r="P29" s="1036"/>
      <c r="Q29" s="1036"/>
      <c r="R29" s="1034">
        <f>K35*N35</f>
        <v>0</v>
      </c>
      <c r="S29" s="1034"/>
      <c r="T29" s="1034"/>
      <c r="U29" s="1034"/>
      <c r="V29" s="1034">
        <f t="shared" si="1"/>
        <v>0</v>
      </c>
      <c r="W29" s="1034"/>
      <c r="X29" s="1034"/>
      <c r="Y29" s="1034"/>
      <c r="Z29" s="1028"/>
      <c r="AA29" s="1028"/>
      <c r="AB29" s="1028"/>
      <c r="AC29" s="1028"/>
      <c r="AQ29" s="660"/>
      <c r="AR29" s="660"/>
      <c r="AS29" s="660"/>
      <c r="AT29" s="660"/>
      <c r="AU29" s="660"/>
      <c r="AV29" s="660"/>
      <c r="AW29" s="660"/>
      <c r="AX29" s="660"/>
      <c r="AY29" s="660"/>
      <c r="BA29" s="660"/>
      <c r="BB29" s="660"/>
      <c r="BC29" s="660"/>
      <c r="BD29" s="660"/>
    </row>
    <row r="30" spans="1:64" ht="12.75" customHeight="1">
      <c r="A30" s="687" t="s">
        <v>22</v>
      </c>
      <c r="B30" s="687" t="s">
        <v>22</v>
      </c>
      <c r="C30" s="1044" t="s">
        <v>165</v>
      </c>
      <c r="D30" s="1044"/>
      <c r="E30" s="1044"/>
      <c r="F30" s="1044"/>
      <c r="G30" s="1044"/>
      <c r="H30" s="1044"/>
      <c r="I30" s="1044"/>
      <c r="J30" s="1044"/>
      <c r="K30" s="1051"/>
      <c r="L30" s="1051"/>
      <c r="M30" s="1051"/>
      <c r="N30" s="1036">
        <v>600</v>
      </c>
      <c r="O30" s="1036"/>
      <c r="P30" s="1036"/>
      <c r="Q30" s="1036"/>
      <c r="R30" s="1034">
        <f>K27*N27</f>
        <v>0</v>
      </c>
      <c r="S30" s="1034"/>
      <c r="T30" s="1034"/>
      <c r="U30" s="1034"/>
      <c r="V30" s="1034">
        <f t="shared" si="1"/>
        <v>0</v>
      </c>
      <c r="W30" s="1034"/>
      <c r="X30" s="1034"/>
      <c r="Y30" s="1034"/>
      <c r="Z30" s="1028"/>
      <c r="AA30" s="1028"/>
      <c r="AB30" s="1028"/>
      <c r="AC30" s="1028"/>
      <c r="AD30" s="727"/>
      <c r="AE30" s="727"/>
      <c r="AF30" s="727"/>
      <c r="AG30" s="727"/>
      <c r="AH30" s="727"/>
      <c r="AI30" s="727"/>
      <c r="AQ30" s="660"/>
      <c r="AR30" s="983"/>
      <c r="AS30" s="983"/>
      <c r="AT30" s="983"/>
      <c r="AU30" s="983"/>
      <c r="AV30" s="999" t="s">
        <v>258</v>
      </c>
      <c r="AW30" s="983"/>
      <c r="AX30" s="983"/>
      <c r="AY30" s="660"/>
      <c r="BA30" s="660"/>
      <c r="BB30" s="983"/>
      <c r="BC30" s="660"/>
      <c r="BD30" s="660"/>
    </row>
    <row r="31" spans="1:64" ht="12.75" customHeight="1">
      <c r="A31" s="687" t="s">
        <v>22</v>
      </c>
      <c r="B31" s="687" t="s">
        <v>22</v>
      </c>
      <c r="C31" s="1044" t="s">
        <v>694</v>
      </c>
      <c r="D31" s="1044"/>
      <c r="E31" s="1044"/>
      <c r="F31" s="1044"/>
      <c r="G31" s="1044"/>
      <c r="H31" s="1044"/>
      <c r="I31" s="1044"/>
      <c r="J31" s="1044"/>
      <c r="K31" s="1051"/>
      <c r="L31" s="1051"/>
      <c r="M31" s="1051"/>
      <c r="N31" s="1036">
        <v>450</v>
      </c>
      <c r="O31" s="1036"/>
      <c r="P31" s="1036"/>
      <c r="Q31" s="1036"/>
      <c r="R31" s="1034">
        <f>K28*N28</f>
        <v>0</v>
      </c>
      <c r="S31" s="1034"/>
      <c r="T31" s="1034"/>
      <c r="U31" s="1034"/>
      <c r="V31" s="1034">
        <f t="shared" si="1"/>
        <v>0</v>
      </c>
      <c r="W31" s="1034"/>
      <c r="X31" s="1034"/>
      <c r="Y31" s="1034"/>
      <c r="Z31" s="1028"/>
      <c r="AA31" s="1028"/>
      <c r="AB31" s="1028"/>
      <c r="AC31" s="1028"/>
      <c r="AD31" s="727"/>
      <c r="AE31" s="727"/>
      <c r="AF31" s="727"/>
      <c r="AG31" s="727"/>
      <c r="AH31" s="727"/>
      <c r="AI31" s="727"/>
      <c r="AQ31" s="660"/>
      <c r="AR31" s="983"/>
      <c r="AS31" s="983"/>
      <c r="AT31" s="983"/>
      <c r="AU31" s="983"/>
      <c r="AV31" s="999" t="s">
        <v>259</v>
      </c>
      <c r="AW31" s="983"/>
      <c r="AX31" s="983"/>
      <c r="AY31" s="660"/>
      <c r="BA31" s="660"/>
      <c r="BB31" s="983"/>
      <c r="BC31" s="660"/>
      <c r="BD31" s="660"/>
    </row>
    <row r="32" spans="1:64" ht="12.75" customHeight="1">
      <c r="A32" s="687" t="s">
        <v>22</v>
      </c>
      <c r="B32" s="687" t="s">
        <v>22</v>
      </c>
      <c r="C32" s="1044" t="s">
        <v>144</v>
      </c>
      <c r="D32" s="1044"/>
      <c r="E32" s="1044"/>
      <c r="F32" s="1044"/>
      <c r="G32" s="1044"/>
      <c r="H32" s="1044"/>
      <c r="I32" s="1044"/>
      <c r="J32" s="1044"/>
      <c r="K32" s="1051"/>
      <c r="L32" s="1051"/>
      <c r="M32" s="1051"/>
      <c r="N32" s="1036">
        <v>500</v>
      </c>
      <c r="O32" s="1036"/>
      <c r="P32" s="1036"/>
      <c r="Q32" s="1036"/>
      <c r="R32" s="1034">
        <f>K30*N30</f>
        <v>0</v>
      </c>
      <c r="S32" s="1034"/>
      <c r="T32" s="1034"/>
      <c r="U32" s="1034"/>
      <c r="V32" s="1034">
        <f t="shared" si="1"/>
        <v>0</v>
      </c>
      <c r="W32" s="1034"/>
      <c r="X32" s="1034"/>
      <c r="Y32" s="1034"/>
      <c r="Z32" s="1028"/>
      <c r="AA32" s="1028"/>
      <c r="AB32" s="1028"/>
      <c r="AC32" s="1028"/>
      <c r="AD32" s="727"/>
      <c r="AE32" s="727"/>
      <c r="AF32" s="727"/>
      <c r="AG32" s="727"/>
      <c r="AH32" s="727"/>
      <c r="AI32" s="727"/>
      <c r="AQ32" s="660"/>
      <c r="AR32" s="983"/>
      <c r="AS32" s="983"/>
      <c r="AT32" s="983"/>
      <c r="AU32" s="983"/>
      <c r="AV32" s="999" t="s">
        <v>260</v>
      </c>
      <c r="AW32" s="983"/>
      <c r="AX32" s="983"/>
      <c r="AY32" s="660"/>
      <c r="BA32" s="660"/>
      <c r="BB32" s="983"/>
      <c r="BC32" s="660"/>
      <c r="BD32" s="660"/>
    </row>
    <row r="33" spans="1:64" ht="12.75" customHeight="1">
      <c r="A33" s="687" t="s">
        <v>22</v>
      </c>
      <c r="B33" s="687" t="s">
        <v>22</v>
      </c>
      <c r="C33" s="1044" t="s">
        <v>26</v>
      </c>
      <c r="D33" s="1044"/>
      <c r="E33" s="1044"/>
      <c r="F33" s="1044"/>
      <c r="G33" s="1044"/>
      <c r="H33" s="1044"/>
      <c r="I33" s="1044"/>
      <c r="J33" s="1044"/>
      <c r="K33" s="1051"/>
      <c r="L33" s="1051"/>
      <c r="M33" s="1051"/>
      <c r="N33" s="1036">
        <v>450</v>
      </c>
      <c r="O33" s="1036"/>
      <c r="P33" s="1036"/>
      <c r="Q33" s="1036"/>
      <c r="R33" s="1034">
        <f>K32*N32</f>
        <v>0</v>
      </c>
      <c r="S33" s="1034"/>
      <c r="T33" s="1034"/>
      <c r="U33" s="1034"/>
      <c r="V33" s="1034">
        <f t="shared" si="1"/>
        <v>0</v>
      </c>
      <c r="W33" s="1034"/>
      <c r="X33" s="1034"/>
      <c r="Y33" s="1034"/>
      <c r="Z33" s="1028"/>
      <c r="AA33" s="1028"/>
      <c r="AB33" s="1028"/>
      <c r="AC33" s="1028"/>
      <c r="AD33" s="727"/>
      <c r="AE33" s="727"/>
      <c r="AF33" s="727"/>
      <c r="AG33" s="727"/>
      <c r="AH33" s="727"/>
      <c r="AI33" s="727"/>
      <c r="AQ33" s="983"/>
      <c r="AR33" s="983"/>
      <c r="AS33" s="983"/>
      <c r="AT33" s="983"/>
      <c r="AU33" s="983"/>
      <c r="AV33" s="999" t="s">
        <v>252</v>
      </c>
      <c r="AW33" s="983"/>
      <c r="AX33" s="983"/>
      <c r="AY33" s="660"/>
      <c r="BA33" s="660"/>
      <c r="BB33" s="983"/>
      <c r="BC33" s="983"/>
      <c r="BD33" s="983"/>
    </row>
    <row r="34" spans="1:64" ht="12.75" customHeight="1">
      <c r="A34" s="687" t="s">
        <v>22</v>
      </c>
      <c r="B34" s="687" t="s">
        <v>22</v>
      </c>
      <c r="C34" s="1044" t="s">
        <v>27</v>
      </c>
      <c r="D34" s="1044"/>
      <c r="E34" s="1044"/>
      <c r="F34" s="1044"/>
      <c r="G34" s="1044"/>
      <c r="H34" s="1044"/>
      <c r="I34" s="1044"/>
      <c r="J34" s="1044"/>
      <c r="K34" s="1051"/>
      <c r="L34" s="1051"/>
      <c r="M34" s="1051"/>
      <c r="N34" s="1036">
        <v>400</v>
      </c>
      <c r="O34" s="1036"/>
      <c r="P34" s="1036"/>
      <c r="Q34" s="1036"/>
      <c r="R34" s="1034">
        <f>K33*N33</f>
        <v>0</v>
      </c>
      <c r="S34" s="1034"/>
      <c r="T34" s="1034"/>
      <c r="U34" s="1034"/>
      <c r="V34" s="1034">
        <f t="shared" si="1"/>
        <v>0</v>
      </c>
      <c r="W34" s="1034"/>
      <c r="X34" s="1034"/>
      <c r="Y34" s="1034"/>
      <c r="Z34" s="1028"/>
      <c r="AA34" s="1028"/>
      <c r="AB34" s="1028"/>
      <c r="AC34" s="1028"/>
      <c r="AD34" s="727"/>
      <c r="AE34" s="727"/>
      <c r="AF34" s="727"/>
      <c r="AG34" s="727"/>
      <c r="AH34" s="727"/>
      <c r="AI34" s="727"/>
      <c r="AQ34" s="660"/>
      <c r="AR34" s="983"/>
      <c r="AS34" s="983"/>
      <c r="AT34" s="983"/>
      <c r="AU34" s="983"/>
      <c r="AV34" s="999" t="s">
        <v>254</v>
      </c>
      <c r="AW34" s="983"/>
      <c r="AX34" s="983"/>
      <c r="AY34" s="660"/>
      <c r="BA34" s="660"/>
      <c r="BB34" s="983"/>
      <c r="BC34" s="660"/>
      <c r="BD34" s="660"/>
    </row>
    <row r="35" spans="1:64" ht="12.75" customHeight="1">
      <c r="A35" s="687" t="s">
        <v>22</v>
      </c>
      <c r="B35" s="687" t="s">
        <v>22</v>
      </c>
      <c r="C35" s="1044" t="s">
        <v>38</v>
      </c>
      <c r="D35" s="1044"/>
      <c r="E35" s="1044"/>
      <c r="F35" s="1044"/>
      <c r="G35" s="1044"/>
      <c r="H35" s="1044"/>
      <c r="I35" s="1044"/>
      <c r="J35" s="1044"/>
      <c r="K35" s="1051"/>
      <c r="L35" s="1051"/>
      <c r="M35" s="1051"/>
      <c r="N35" s="1036">
        <v>600</v>
      </c>
      <c r="O35" s="1036"/>
      <c r="P35" s="1036"/>
      <c r="Q35" s="1036"/>
      <c r="R35" s="1034">
        <f>K34*N34</f>
        <v>0</v>
      </c>
      <c r="S35" s="1034"/>
      <c r="T35" s="1034"/>
      <c r="U35" s="1034"/>
      <c r="V35" s="1034">
        <f t="shared" si="1"/>
        <v>0</v>
      </c>
      <c r="W35" s="1034"/>
      <c r="X35" s="1034"/>
      <c r="Y35" s="1034"/>
      <c r="Z35" s="1028"/>
      <c r="AA35" s="1028"/>
      <c r="AB35" s="1028"/>
      <c r="AC35" s="1028"/>
      <c r="AD35" s="727"/>
      <c r="AE35" s="727"/>
      <c r="AF35" s="727"/>
      <c r="AG35" s="727"/>
      <c r="AH35" s="727"/>
      <c r="AI35" s="727"/>
      <c r="AJ35" s="727"/>
      <c r="AN35" s="727"/>
      <c r="AO35" s="727"/>
      <c r="AP35" s="727"/>
      <c r="AQ35" s="727"/>
      <c r="AR35" s="727"/>
      <c r="AS35" s="727"/>
      <c r="AT35" s="727"/>
      <c r="AV35" s="727"/>
      <c r="AW35" s="727"/>
      <c r="AX35" s="727"/>
      <c r="AY35" s="727"/>
      <c r="BA35" s="660"/>
      <c r="BB35" s="967"/>
      <c r="BC35" s="660"/>
      <c r="BD35" s="973"/>
      <c r="BE35" s="973"/>
      <c r="BF35" s="981"/>
      <c r="BG35" s="982"/>
      <c r="BH35" s="982"/>
      <c r="BI35" s="983"/>
      <c r="BJ35" s="983"/>
      <c r="BK35" s="983"/>
      <c r="BL35" s="983"/>
    </row>
    <row r="36" spans="1:64" ht="12.75" customHeight="1">
      <c r="A36" s="687" t="s">
        <v>22</v>
      </c>
      <c r="B36" s="687" t="s">
        <v>22</v>
      </c>
      <c r="C36" s="1044" t="s">
        <v>39</v>
      </c>
      <c r="D36" s="1044"/>
      <c r="E36" s="1044"/>
      <c r="F36" s="1044"/>
      <c r="G36" s="1044"/>
      <c r="H36" s="1044"/>
      <c r="I36" s="1044"/>
      <c r="J36" s="1044"/>
      <c r="K36" s="1051"/>
      <c r="L36" s="1051"/>
      <c r="M36" s="1051"/>
      <c r="N36" s="1036">
        <v>450</v>
      </c>
      <c r="O36" s="1036"/>
      <c r="P36" s="1036"/>
      <c r="Q36" s="1036"/>
      <c r="R36" s="1034">
        <f>K38*N38</f>
        <v>0</v>
      </c>
      <c r="S36" s="1034"/>
      <c r="T36" s="1034"/>
      <c r="U36" s="1034"/>
      <c r="V36" s="1034">
        <f t="shared" si="1"/>
        <v>0</v>
      </c>
      <c r="W36" s="1034"/>
      <c r="X36" s="1034"/>
      <c r="Y36" s="1034"/>
      <c r="Z36" s="1028"/>
      <c r="AA36" s="1028"/>
      <c r="AB36" s="1028"/>
      <c r="AC36" s="1028"/>
      <c r="AD36" s="727"/>
      <c r="AX36" s="727"/>
      <c r="AY36" s="727"/>
      <c r="BA36" s="660"/>
      <c r="BB36" s="967"/>
      <c r="BC36" s="660"/>
      <c r="BD36" s="973"/>
      <c r="BE36" s="973"/>
      <c r="BF36" s="981"/>
      <c r="BG36" s="982"/>
      <c r="BH36" s="982"/>
      <c r="BI36" s="983"/>
      <c r="BJ36" s="983"/>
      <c r="BK36" s="983"/>
      <c r="BL36" s="983"/>
    </row>
    <row r="37" spans="1:64" ht="12.75" customHeight="1">
      <c r="A37" s="687" t="s">
        <v>22</v>
      </c>
      <c r="B37" s="687" t="s">
        <v>22</v>
      </c>
      <c r="C37" s="1044" t="s">
        <v>175</v>
      </c>
      <c r="D37" s="1044"/>
      <c r="E37" s="1044"/>
      <c r="F37" s="1044"/>
      <c r="G37" s="1044"/>
      <c r="H37" s="1044"/>
      <c r="I37" s="1044"/>
      <c r="J37" s="1044"/>
      <c r="K37" s="1051"/>
      <c r="L37" s="1051"/>
      <c r="M37" s="1051"/>
      <c r="N37" s="1036">
        <v>450</v>
      </c>
      <c r="O37" s="1036"/>
      <c r="P37" s="1036"/>
      <c r="Q37" s="1036"/>
      <c r="R37" s="1034">
        <f>K39*N39</f>
        <v>0</v>
      </c>
      <c r="S37" s="1034"/>
      <c r="T37" s="1034"/>
      <c r="U37" s="1034"/>
      <c r="V37" s="1034">
        <f t="shared" si="1"/>
        <v>0</v>
      </c>
      <c r="W37" s="1034"/>
      <c r="X37" s="1034"/>
      <c r="Y37" s="1034"/>
      <c r="Z37" s="1028"/>
      <c r="AA37" s="1028"/>
      <c r="AB37" s="1028"/>
      <c r="AC37" s="1028"/>
      <c r="AD37" s="727"/>
      <c r="AX37" s="727"/>
      <c r="AY37" s="727"/>
      <c r="BA37" s="660"/>
      <c r="BB37" s="967"/>
      <c r="BC37" s="660"/>
      <c r="BD37" s="973"/>
      <c r="BE37" s="973"/>
      <c r="BF37" s="981"/>
      <c r="BG37" s="982"/>
      <c r="BH37" s="982"/>
      <c r="BI37" s="983"/>
      <c r="BJ37" s="983"/>
      <c r="BK37" s="983"/>
      <c r="BL37" s="983"/>
    </row>
    <row r="38" spans="1:64" ht="12.75" customHeight="1">
      <c r="A38" s="687" t="s">
        <v>22</v>
      </c>
      <c r="B38" s="687" t="s">
        <v>22</v>
      </c>
      <c r="C38" s="1044" t="s">
        <v>174</v>
      </c>
      <c r="D38" s="1044"/>
      <c r="E38" s="1044"/>
      <c r="F38" s="1044"/>
      <c r="G38" s="1044"/>
      <c r="H38" s="1044"/>
      <c r="I38" s="1044"/>
      <c r="J38" s="1044"/>
      <c r="K38" s="1051"/>
      <c r="L38" s="1051"/>
      <c r="M38" s="1051"/>
      <c r="N38" s="1036">
        <v>450</v>
      </c>
      <c r="O38" s="1036"/>
      <c r="P38" s="1036"/>
      <c r="Q38" s="1036"/>
      <c r="R38" s="1034">
        <f>K40*N40</f>
        <v>0</v>
      </c>
      <c r="S38" s="1034"/>
      <c r="T38" s="1034"/>
      <c r="U38" s="1034"/>
      <c r="V38" s="1034">
        <f t="shared" si="1"/>
        <v>0</v>
      </c>
      <c r="W38" s="1034"/>
      <c r="X38" s="1034"/>
      <c r="Y38" s="1034"/>
      <c r="Z38" s="1028"/>
      <c r="AA38" s="1028"/>
      <c r="AB38" s="1028"/>
      <c r="AC38" s="1028"/>
      <c r="AD38" s="727"/>
      <c r="AT38" s="727"/>
      <c r="AV38" s="727"/>
      <c r="AW38" s="727"/>
      <c r="AX38" s="727"/>
      <c r="AY38" s="727"/>
      <c r="BA38" s="660"/>
      <c r="BB38" s="967"/>
      <c r="BC38" s="660"/>
      <c r="BD38" s="973"/>
      <c r="BE38" s="973"/>
      <c r="BF38" s="981"/>
      <c r="BG38" s="982"/>
      <c r="BH38" s="982"/>
      <c r="BI38" s="983"/>
      <c r="BJ38" s="983"/>
      <c r="BK38" s="983"/>
      <c r="BL38" s="983"/>
    </row>
    <row r="39" spans="1:64" ht="12.75" customHeight="1">
      <c r="A39" s="687" t="s">
        <v>22</v>
      </c>
      <c r="B39" s="687" t="s">
        <v>22</v>
      </c>
      <c r="C39" s="1044" t="s">
        <v>28</v>
      </c>
      <c r="D39" s="1044"/>
      <c r="E39" s="1044"/>
      <c r="F39" s="1044"/>
      <c r="G39" s="1044"/>
      <c r="H39" s="1044"/>
      <c r="I39" s="1044"/>
      <c r="J39" s="1044"/>
      <c r="K39" s="1051"/>
      <c r="L39" s="1051"/>
      <c r="M39" s="1051"/>
      <c r="N39" s="1036">
        <v>450</v>
      </c>
      <c r="O39" s="1036"/>
      <c r="P39" s="1036"/>
      <c r="Q39" s="1036"/>
      <c r="R39" s="1034">
        <f>K41*N41</f>
        <v>0</v>
      </c>
      <c r="S39" s="1034"/>
      <c r="T39" s="1034"/>
      <c r="U39" s="1034"/>
      <c r="V39" s="1034">
        <f t="shared" si="1"/>
        <v>0</v>
      </c>
      <c r="W39" s="1034"/>
      <c r="X39" s="1034"/>
      <c r="Y39" s="1034"/>
      <c r="Z39" s="1028"/>
      <c r="AA39" s="1028"/>
      <c r="AB39" s="1028"/>
      <c r="AC39" s="1028"/>
      <c r="AD39" s="727"/>
      <c r="AX39" s="727"/>
      <c r="AY39" s="727"/>
      <c r="BA39" s="660"/>
      <c r="BB39" s="967"/>
      <c r="BC39" s="660"/>
      <c r="BD39" s="973"/>
      <c r="BE39" s="973"/>
      <c r="BF39" s="981"/>
      <c r="BG39" s="982"/>
      <c r="BH39" s="982"/>
      <c r="BI39" s="983"/>
      <c r="BJ39" s="983"/>
      <c r="BK39" s="983"/>
      <c r="BL39" s="983"/>
    </row>
    <row r="40" spans="1:64" ht="12.75" customHeight="1">
      <c r="A40" s="687" t="s">
        <v>22</v>
      </c>
      <c r="B40" s="687" t="s">
        <v>22</v>
      </c>
      <c r="C40" s="1044" t="s">
        <v>29</v>
      </c>
      <c r="D40" s="1044"/>
      <c r="E40" s="1044"/>
      <c r="F40" s="1044"/>
      <c r="G40" s="1044"/>
      <c r="H40" s="1044"/>
      <c r="I40" s="1044"/>
      <c r="J40" s="1044"/>
      <c r="K40" s="1051"/>
      <c r="L40" s="1051"/>
      <c r="M40" s="1051"/>
      <c r="N40" s="1036">
        <v>375</v>
      </c>
      <c r="O40" s="1036"/>
      <c r="P40" s="1036"/>
      <c r="Q40" s="1036"/>
      <c r="R40" s="1034">
        <f>K37*N37</f>
        <v>0</v>
      </c>
      <c r="S40" s="1034"/>
      <c r="T40" s="1034"/>
      <c r="U40" s="1034"/>
      <c r="V40" s="1034">
        <f t="shared" si="1"/>
        <v>0</v>
      </c>
      <c r="W40" s="1034"/>
      <c r="X40" s="1034"/>
      <c r="Y40" s="1034"/>
      <c r="Z40" s="1028"/>
      <c r="AA40" s="1028"/>
      <c r="AB40" s="1028"/>
      <c r="AC40" s="1028"/>
      <c r="AD40" s="727"/>
      <c r="AT40" s="727"/>
      <c r="AV40" s="727"/>
      <c r="AW40" s="727"/>
      <c r="AX40" s="727"/>
      <c r="AY40" s="727"/>
      <c r="BA40" s="660"/>
      <c r="BB40" s="967"/>
      <c r="BC40" s="660"/>
      <c r="BD40" s="973"/>
      <c r="BE40" s="973"/>
      <c r="BF40" s="981"/>
      <c r="BG40" s="982"/>
      <c r="BH40" s="982"/>
      <c r="BI40" s="983"/>
      <c r="BJ40" s="983"/>
      <c r="BK40" s="983"/>
      <c r="BL40" s="983"/>
    </row>
    <row r="41" spans="1:64" ht="12.75" customHeight="1">
      <c r="A41" s="687" t="s">
        <v>22</v>
      </c>
      <c r="B41" s="687" t="s">
        <v>22</v>
      </c>
      <c r="C41" s="1044" t="s">
        <v>176</v>
      </c>
      <c r="D41" s="1044"/>
      <c r="E41" s="1044"/>
      <c r="F41" s="1044"/>
      <c r="G41" s="1044"/>
      <c r="H41" s="1044"/>
      <c r="I41" s="1044"/>
      <c r="J41" s="1044"/>
      <c r="K41" s="1051"/>
      <c r="L41" s="1051"/>
      <c r="M41" s="1051"/>
      <c r="N41" s="1036">
        <v>375</v>
      </c>
      <c r="O41" s="1036"/>
      <c r="P41" s="1036"/>
      <c r="Q41" s="1036"/>
      <c r="R41" s="1034">
        <f>K42*N42</f>
        <v>0</v>
      </c>
      <c r="S41" s="1034"/>
      <c r="T41" s="1034"/>
      <c r="U41" s="1034"/>
      <c r="V41" s="1034">
        <f t="shared" si="1"/>
        <v>0</v>
      </c>
      <c r="W41" s="1034"/>
      <c r="X41" s="1034"/>
      <c r="Y41" s="1034"/>
      <c r="Z41" s="1028"/>
      <c r="AA41" s="1028"/>
      <c r="AB41" s="1028"/>
      <c r="AC41" s="1028"/>
      <c r="AD41" s="727"/>
      <c r="AT41" s="727"/>
      <c r="AV41" s="727"/>
      <c r="AW41" s="727"/>
      <c r="AX41" s="727"/>
      <c r="AY41" s="727"/>
      <c r="BA41" s="660"/>
      <c r="BB41" s="967"/>
      <c r="BC41" s="660"/>
      <c r="BD41" s="973"/>
      <c r="BE41" s="973"/>
      <c r="BF41" s="981"/>
      <c r="BG41" s="982"/>
      <c r="BH41" s="982"/>
      <c r="BI41" s="983"/>
      <c r="BJ41" s="983"/>
      <c r="BK41" s="983"/>
      <c r="BL41" s="983"/>
    </row>
    <row r="42" spans="1:64" ht="12.75" customHeight="1">
      <c r="A42" s="687" t="s">
        <v>22</v>
      </c>
      <c r="B42" s="687" t="s">
        <v>22</v>
      </c>
      <c r="C42" s="1044" t="s">
        <v>30</v>
      </c>
      <c r="D42" s="1044"/>
      <c r="E42" s="1044"/>
      <c r="F42" s="1044"/>
      <c r="G42" s="1044"/>
      <c r="H42" s="1044"/>
      <c r="I42" s="1044"/>
      <c r="J42" s="1044"/>
      <c r="K42" s="1051"/>
      <c r="L42" s="1051"/>
      <c r="M42" s="1051"/>
      <c r="N42" s="1036">
        <v>400</v>
      </c>
      <c r="O42" s="1036"/>
      <c r="P42" s="1036"/>
      <c r="Q42" s="1036"/>
      <c r="R42" s="1034">
        <f>K36*N36</f>
        <v>0</v>
      </c>
      <c r="S42" s="1034"/>
      <c r="T42" s="1034"/>
      <c r="U42" s="1034"/>
      <c r="V42" s="1034">
        <f t="shared" si="1"/>
        <v>0</v>
      </c>
      <c r="W42" s="1034"/>
      <c r="X42" s="1034"/>
      <c r="Y42" s="1034"/>
      <c r="Z42" s="1028"/>
      <c r="AA42" s="1028"/>
      <c r="AB42" s="1028"/>
      <c r="AC42" s="1028"/>
      <c r="AD42" s="727"/>
      <c r="AT42" s="727"/>
      <c r="AV42" s="727"/>
      <c r="AW42" s="727"/>
      <c r="AX42" s="728"/>
      <c r="AY42" s="727"/>
      <c r="BA42" s="660"/>
      <c r="BB42" s="967"/>
      <c r="BC42" s="660"/>
      <c r="BD42" s="973"/>
      <c r="BE42" s="973"/>
      <c r="BF42" s="981"/>
      <c r="BG42" s="982"/>
      <c r="BH42" s="982"/>
      <c r="BI42" s="983"/>
      <c r="BJ42" s="983"/>
      <c r="BK42" s="983"/>
      <c r="BL42" s="983"/>
    </row>
    <row r="43" spans="1:64" ht="12.75" customHeight="1">
      <c r="A43" s="687" t="s">
        <v>22</v>
      </c>
      <c r="B43" s="687" t="s">
        <v>22</v>
      </c>
      <c r="C43" s="1044" t="s">
        <v>173</v>
      </c>
      <c r="D43" s="1044"/>
      <c r="E43" s="1044"/>
      <c r="F43" s="1044"/>
      <c r="G43" s="1044"/>
      <c r="H43" s="1044"/>
      <c r="I43" s="1044"/>
      <c r="J43" s="1044"/>
      <c r="K43" s="1051">
        <f>ROUNDUP((SUM(BB35:BB77)*0.15),0)</f>
        <v>0</v>
      </c>
      <c r="L43" s="1051"/>
      <c r="M43" s="1051"/>
      <c r="N43" s="1036">
        <v>100</v>
      </c>
      <c r="O43" s="1036"/>
      <c r="P43" s="1036"/>
      <c r="Q43" s="1036"/>
      <c r="R43" s="1034">
        <f t="shared" si="0"/>
        <v>0</v>
      </c>
      <c r="S43" s="1034"/>
      <c r="T43" s="1034"/>
      <c r="U43" s="1034"/>
      <c r="V43" s="1034">
        <f t="shared" si="1"/>
        <v>0</v>
      </c>
      <c r="W43" s="1034"/>
      <c r="X43" s="1034"/>
      <c r="Y43" s="1034"/>
      <c r="Z43" s="1028"/>
      <c r="AA43" s="1028"/>
      <c r="AB43" s="1028"/>
      <c r="AC43" s="1028"/>
      <c r="AD43" s="727"/>
      <c r="AT43" s="727"/>
      <c r="AV43" s="727"/>
      <c r="AW43" s="727"/>
      <c r="AX43" s="728"/>
      <c r="AY43" s="727"/>
      <c r="BA43" s="660"/>
      <c r="BB43" s="967"/>
      <c r="BC43" s="660"/>
      <c r="BD43" s="973"/>
      <c r="BE43" s="973"/>
      <c r="BF43" s="981"/>
      <c r="BG43" s="982"/>
      <c r="BH43" s="982"/>
      <c r="BI43" s="983"/>
      <c r="BJ43" s="983"/>
      <c r="BK43" s="983"/>
      <c r="BL43" s="983"/>
    </row>
    <row r="44" spans="1:64" ht="12.75" customHeight="1">
      <c r="A44" s="660"/>
      <c r="B44" s="660"/>
      <c r="C44" s="1056" t="s">
        <v>172</v>
      </c>
      <c r="D44" s="1056"/>
      <c r="E44" s="1056"/>
      <c r="F44" s="1056"/>
      <c r="G44" s="1056"/>
      <c r="H44" s="1056"/>
      <c r="I44" s="1056"/>
      <c r="J44" s="1056"/>
      <c r="K44" s="1050">
        <f>SUM(K24:M43)</f>
        <v>2</v>
      </c>
      <c r="L44" s="1050"/>
      <c r="M44" s="1050"/>
      <c r="N44" s="1036"/>
      <c r="O44" s="1036"/>
      <c r="P44" s="1036"/>
      <c r="Q44" s="1036"/>
      <c r="R44" s="1034">
        <f>SUM(R24:U43)</f>
        <v>1600</v>
      </c>
      <c r="S44" s="1034"/>
      <c r="T44" s="1034"/>
      <c r="U44" s="1034"/>
      <c r="V44" s="1046">
        <f>SUM(V24:Y43)</f>
        <v>123.07692307692308</v>
      </c>
      <c r="W44" s="1046"/>
      <c r="X44" s="1046"/>
      <c r="Y44" s="1046"/>
      <c r="Z44" s="1028">
        <f>SUM(Z24:AC43)</f>
        <v>133.33333333333334</v>
      </c>
      <c r="AA44" s="1028"/>
      <c r="AB44" s="1028"/>
      <c r="AC44" s="1028"/>
      <c r="AD44" s="727"/>
      <c r="AV44" s="727"/>
      <c r="BA44" s="660"/>
      <c r="BB44" s="967"/>
      <c r="BC44" s="660"/>
      <c r="BD44" s="973"/>
      <c r="BE44" s="973"/>
      <c r="BF44" s="981"/>
      <c r="BG44" s="982"/>
      <c r="BH44" s="982"/>
      <c r="BI44" s="983"/>
      <c r="BJ44" s="983"/>
      <c r="BK44" s="983"/>
      <c r="BL44" s="983"/>
    </row>
    <row r="45" spans="1:64" ht="12.75" customHeight="1">
      <c r="A45" s="660"/>
      <c r="B45" s="660"/>
      <c r="C45" s="1024"/>
      <c r="D45" s="1024"/>
      <c r="E45" s="1024"/>
      <c r="F45" s="1024"/>
      <c r="G45" s="1024"/>
      <c r="H45" s="1024"/>
      <c r="I45" s="1024"/>
      <c r="J45" s="1024"/>
      <c r="K45" s="1026"/>
      <c r="L45" s="1026"/>
      <c r="M45" s="1026"/>
      <c r="N45" s="1023"/>
      <c r="O45" s="1023"/>
      <c r="P45" s="1023"/>
      <c r="Q45" s="1023"/>
      <c r="R45" s="1025"/>
      <c r="S45" s="1025"/>
      <c r="T45" s="1025"/>
      <c r="U45" s="1025"/>
      <c r="V45" s="1027"/>
      <c r="W45" s="1027"/>
      <c r="X45" s="1027"/>
      <c r="Y45" s="1027"/>
      <c r="Z45" s="1022"/>
      <c r="AA45" s="1022"/>
      <c r="AB45" s="1022"/>
      <c r="AC45" s="1022"/>
      <c r="AD45" s="727"/>
      <c r="AV45" s="727"/>
      <c r="BA45" s="660"/>
      <c r="BB45" s="967"/>
      <c r="BC45" s="660"/>
      <c r="BD45" s="1025"/>
      <c r="BE45" s="1025"/>
      <c r="BF45" s="981"/>
      <c r="BG45" s="982"/>
      <c r="BH45" s="982"/>
      <c r="BI45" s="983"/>
      <c r="BJ45" s="983"/>
      <c r="BK45" s="983"/>
      <c r="BL45" s="983"/>
    </row>
    <row r="46" spans="1:64" ht="12.75" customHeight="1">
      <c r="A46" s="660"/>
      <c r="B46" s="660"/>
      <c r="C46" s="1024"/>
      <c r="D46" s="1024"/>
      <c r="E46" s="1024"/>
      <c r="F46" s="1024"/>
      <c r="G46" s="1024"/>
      <c r="H46" s="1024"/>
      <c r="I46" s="1024"/>
      <c r="J46" s="1024"/>
      <c r="K46" s="1026"/>
      <c r="L46" s="1026"/>
      <c r="M46" s="1026"/>
      <c r="N46" s="1023"/>
      <c r="O46" s="1023"/>
      <c r="P46" s="1023"/>
      <c r="Q46" s="1023"/>
      <c r="R46" s="1025"/>
      <c r="S46" s="1025"/>
      <c r="T46" s="1025"/>
      <c r="U46" s="1025"/>
      <c r="V46" s="1027"/>
      <c r="W46" s="1027"/>
      <c r="X46" s="1027"/>
      <c r="Y46" s="1027"/>
      <c r="Z46" s="1022"/>
      <c r="AA46" s="1022"/>
      <c r="AB46" s="1022"/>
      <c r="AC46" s="1022"/>
      <c r="AD46" s="727"/>
      <c r="AV46" s="727"/>
      <c r="BA46" s="660"/>
      <c r="BB46" s="967"/>
      <c r="BC46" s="660"/>
      <c r="BD46" s="1025"/>
      <c r="BE46" s="1025"/>
      <c r="BF46" s="981"/>
      <c r="BG46" s="982"/>
      <c r="BH46" s="982"/>
      <c r="BI46" s="983"/>
      <c r="BJ46" s="983"/>
      <c r="BK46" s="983"/>
      <c r="BL46" s="983"/>
    </row>
    <row r="47" spans="1:64" ht="12.75" customHeight="1">
      <c r="A47" s="660"/>
      <c r="B47" s="660"/>
      <c r="C47" s="1024"/>
      <c r="D47" s="1024"/>
      <c r="E47" s="1024"/>
      <c r="F47" s="1024"/>
      <c r="G47" s="1024"/>
      <c r="H47" s="1024"/>
      <c r="I47" s="1024"/>
      <c r="J47" s="1024"/>
      <c r="K47" s="1026"/>
      <c r="L47" s="1026"/>
      <c r="M47" s="1026"/>
      <c r="N47" s="1023"/>
      <c r="O47" s="1023"/>
      <c r="P47" s="1023"/>
      <c r="Q47" s="1023"/>
      <c r="R47" s="1025"/>
      <c r="S47" s="1025"/>
      <c r="T47" s="1025"/>
      <c r="U47" s="1025"/>
      <c r="V47" s="1027"/>
      <c r="W47" s="1027"/>
      <c r="X47" s="1027"/>
      <c r="Y47" s="1027"/>
      <c r="Z47" s="1022"/>
      <c r="AA47" s="1022"/>
      <c r="AB47" s="1022"/>
      <c r="AC47" s="1022"/>
      <c r="AD47" s="727"/>
      <c r="AV47" s="727"/>
      <c r="BA47" s="660"/>
      <c r="BB47" s="967"/>
      <c r="BC47" s="660"/>
      <c r="BD47" s="1025"/>
      <c r="BE47" s="1025"/>
      <c r="BF47" s="981"/>
      <c r="BG47" s="982"/>
      <c r="BH47" s="982"/>
      <c r="BI47" s="983"/>
      <c r="BJ47" s="983"/>
      <c r="BK47" s="983"/>
      <c r="BL47" s="983"/>
    </row>
    <row r="48" spans="1:64" ht="12.75" customHeight="1">
      <c r="A48" s="660"/>
      <c r="B48" s="660"/>
      <c r="C48" s="1024"/>
      <c r="D48" s="1024"/>
      <c r="E48" s="1024"/>
      <c r="F48" s="1024"/>
      <c r="G48" s="1024"/>
      <c r="H48" s="1024"/>
      <c r="I48" s="1024"/>
      <c r="J48" s="1024"/>
      <c r="K48" s="1026"/>
      <c r="L48" s="1026"/>
      <c r="M48" s="1026"/>
      <c r="N48" s="1023"/>
      <c r="O48" s="1023"/>
      <c r="P48" s="1023"/>
      <c r="Q48" s="1023"/>
      <c r="R48" s="1025"/>
      <c r="S48" s="1025"/>
      <c r="T48" s="1025"/>
      <c r="U48" s="1025"/>
      <c r="V48" s="1027"/>
      <c r="W48" s="1027"/>
      <c r="X48" s="1027"/>
      <c r="Y48" s="1027"/>
      <c r="Z48" s="1022"/>
      <c r="AA48" s="1022"/>
      <c r="AB48" s="1022"/>
      <c r="AC48" s="1022"/>
      <c r="AD48" s="727"/>
      <c r="AV48" s="727"/>
      <c r="BA48" s="660"/>
      <c r="BB48" s="967"/>
      <c r="BC48" s="660"/>
      <c r="BD48" s="1025"/>
      <c r="BE48" s="1025"/>
      <c r="BF48" s="981"/>
      <c r="BG48" s="982"/>
      <c r="BH48" s="982"/>
      <c r="BI48" s="983"/>
      <c r="BJ48" s="983"/>
      <c r="BK48" s="983"/>
      <c r="BL48" s="983"/>
    </row>
    <row r="49" spans="1:64" ht="12.75" customHeight="1">
      <c r="A49" s="660"/>
      <c r="B49" s="660"/>
      <c r="C49" s="1024"/>
      <c r="D49" s="1024"/>
      <c r="E49" s="1024"/>
      <c r="F49" s="1024"/>
      <c r="G49" s="1024"/>
      <c r="H49" s="1024"/>
      <c r="I49" s="1024"/>
      <c r="J49" s="1024"/>
      <c r="K49" s="1026"/>
      <c r="L49" s="1026"/>
      <c r="M49" s="1026"/>
      <c r="N49" s="1023"/>
      <c r="O49" s="1023"/>
      <c r="P49" s="1023"/>
      <c r="Q49" s="1023"/>
      <c r="R49" s="1025"/>
      <c r="S49" s="1025"/>
      <c r="T49" s="1025"/>
      <c r="U49" s="1025"/>
      <c r="V49" s="1027"/>
      <c r="W49" s="1027"/>
      <c r="X49" s="1027"/>
      <c r="Y49" s="1027"/>
      <c r="Z49" s="1022"/>
      <c r="AA49" s="1022"/>
      <c r="AB49" s="1022"/>
      <c r="AC49" s="1022"/>
      <c r="AD49" s="727"/>
      <c r="AV49" s="727"/>
      <c r="BA49" s="660"/>
      <c r="BB49" s="967"/>
      <c r="BC49" s="660"/>
      <c r="BD49" s="1025"/>
      <c r="BE49" s="1025"/>
      <c r="BF49" s="981"/>
      <c r="BG49" s="982"/>
      <c r="BH49" s="982"/>
      <c r="BI49" s="983"/>
      <c r="BJ49" s="983"/>
      <c r="BK49" s="983"/>
      <c r="BL49" s="983"/>
    </row>
    <row r="50" spans="1:64" ht="12.75" customHeight="1">
      <c r="A50" s="660"/>
      <c r="B50" s="660"/>
      <c r="C50" s="1024"/>
      <c r="D50" s="1024"/>
      <c r="E50" s="1024"/>
      <c r="F50" s="1024"/>
      <c r="G50" s="1024"/>
      <c r="H50" s="1024"/>
      <c r="I50" s="1024"/>
      <c r="J50" s="1024"/>
      <c r="K50" s="1026"/>
      <c r="L50" s="1026"/>
      <c r="M50" s="1026"/>
      <c r="N50" s="1023"/>
      <c r="O50" s="1023"/>
      <c r="P50" s="1023"/>
      <c r="Q50" s="1023"/>
      <c r="R50" s="1025"/>
      <c r="S50" s="1025"/>
      <c r="T50" s="1025"/>
      <c r="U50" s="1025"/>
      <c r="V50" s="1027"/>
      <c r="W50" s="1027"/>
      <c r="X50" s="1027"/>
      <c r="Y50" s="1027"/>
      <c r="Z50" s="1022"/>
      <c r="AA50" s="1022"/>
      <c r="AB50" s="1022"/>
      <c r="AC50" s="1022"/>
      <c r="AD50" s="727"/>
      <c r="AV50" s="727"/>
      <c r="BA50" s="660"/>
      <c r="BB50" s="967"/>
      <c r="BC50" s="660"/>
      <c r="BD50" s="1025"/>
      <c r="BE50" s="1025"/>
      <c r="BF50" s="981"/>
      <c r="BG50" s="982"/>
      <c r="BH50" s="982"/>
      <c r="BI50" s="983"/>
      <c r="BJ50" s="983"/>
      <c r="BK50" s="983"/>
      <c r="BL50" s="983"/>
    </row>
    <row r="51" spans="1:64" ht="12.75" customHeight="1">
      <c r="A51" s="660"/>
      <c r="B51" s="660"/>
      <c r="C51" s="1024"/>
      <c r="D51" s="1024"/>
      <c r="E51" s="1024"/>
      <c r="F51" s="1024"/>
      <c r="G51" s="1024"/>
      <c r="H51" s="1024"/>
      <c r="I51" s="1024"/>
      <c r="J51" s="1024"/>
      <c r="K51" s="1026"/>
      <c r="L51" s="1026"/>
      <c r="M51" s="1026"/>
      <c r="N51" s="1023"/>
      <c r="O51" s="1023"/>
      <c r="P51" s="1023"/>
      <c r="Q51" s="1023"/>
      <c r="R51" s="1025"/>
      <c r="S51" s="1025"/>
      <c r="T51" s="1025"/>
      <c r="U51" s="1025"/>
      <c r="V51" s="1027"/>
      <c r="W51" s="1027"/>
      <c r="X51" s="1027"/>
      <c r="Y51" s="1027"/>
      <c r="Z51" s="1022"/>
      <c r="AA51" s="1022"/>
      <c r="AB51" s="1022"/>
      <c r="AC51" s="1022"/>
      <c r="AD51" s="727"/>
      <c r="AV51" s="727"/>
      <c r="BA51" s="660"/>
      <c r="BB51" s="967"/>
      <c r="BC51" s="660"/>
      <c r="BD51" s="1025"/>
      <c r="BE51" s="1025"/>
      <c r="BF51" s="981"/>
      <c r="BG51" s="982"/>
      <c r="BH51" s="982"/>
      <c r="BI51" s="983"/>
      <c r="BJ51" s="983"/>
      <c r="BK51" s="983"/>
      <c r="BL51" s="983"/>
    </row>
    <row r="52" spans="1:64" ht="12.75" customHeight="1">
      <c r="A52" s="660"/>
      <c r="B52" s="660"/>
      <c r="C52" s="1024"/>
      <c r="D52" s="1024"/>
      <c r="E52" s="1024"/>
      <c r="F52" s="1024"/>
      <c r="G52" s="1024"/>
      <c r="H52" s="1024"/>
      <c r="I52" s="1024"/>
      <c r="J52" s="1024"/>
      <c r="K52" s="1026"/>
      <c r="L52" s="1026"/>
      <c r="M52" s="1026"/>
      <c r="N52" s="1023"/>
      <c r="O52" s="1023"/>
      <c r="P52" s="1023"/>
      <c r="Q52" s="1023"/>
      <c r="R52" s="1025"/>
      <c r="S52" s="1025"/>
      <c r="T52" s="1025"/>
      <c r="U52" s="1025"/>
      <c r="V52" s="1027"/>
      <c r="W52" s="1027"/>
      <c r="X52" s="1027"/>
      <c r="Y52" s="1027"/>
      <c r="Z52" s="1022"/>
      <c r="AA52" s="1022"/>
      <c r="AB52" s="1022"/>
      <c r="AC52" s="1022"/>
      <c r="AD52" s="727"/>
      <c r="AV52" s="727"/>
      <c r="BA52" s="660"/>
      <c r="BB52" s="967"/>
      <c r="BC52" s="660"/>
      <c r="BD52" s="1025"/>
      <c r="BE52" s="1025"/>
      <c r="BF52" s="981"/>
      <c r="BG52" s="982"/>
      <c r="BH52" s="982"/>
      <c r="BI52" s="983"/>
      <c r="BJ52" s="983"/>
      <c r="BK52" s="983"/>
      <c r="BL52" s="983"/>
    </row>
    <row r="53" spans="1:64" ht="12.75" customHeight="1">
      <c r="A53" s="660"/>
      <c r="B53" s="660"/>
      <c r="C53" s="1024"/>
      <c r="D53" s="1024"/>
      <c r="E53" s="1024"/>
      <c r="F53" s="1024"/>
      <c r="G53" s="1024"/>
      <c r="H53" s="1024"/>
      <c r="I53" s="1024"/>
      <c r="J53" s="1024"/>
      <c r="K53" s="1026"/>
      <c r="L53" s="1026"/>
      <c r="M53" s="1026"/>
      <c r="N53" s="1023"/>
      <c r="O53" s="1023"/>
      <c r="P53" s="1023"/>
      <c r="Q53" s="1023"/>
      <c r="R53" s="1025"/>
      <c r="S53" s="1025"/>
      <c r="T53" s="1025"/>
      <c r="U53" s="1025"/>
      <c r="V53" s="1027"/>
      <c r="W53" s="1027"/>
      <c r="X53" s="1027"/>
      <c r="Y53" s="1027"/>
      <c r="Z53" s="1022"/>
      <c r="AA53" s="1022"/>
      <c r="AB53" s="1022"/>
      <c r="AC53" s="1022"/>
      <c r="AD53" s="727"/>
      <c r="AV53" s="727"/>
      <c r="BA53" s="660"/>
      <c r="BB53" s="967"/>
      <c r="BC53" s="660"/>
      <c r="BD53" s="1025"/>
      <c r="BE53" s="1025"/>
      <c r="BF53" s="981"/>
      <c r="BG53" s="982"/>
      <c r="BH53" s="982"/>
      <c r="BI53" s="983"/>
      <c r="BJ53" s="983"/>
      <c r="BK53" s="983"/>
      <c r="BL53" s="983"/>
    </row>
    <row r="54" spans="1:64" ht="12.75" customHeight="1">
      <c r="A54" s="660"/>
      <c r="B54" s="660"/>
      <c r="C54" s="1024"/>
      <c r="D54" s="1024"/>
      <c r="E54" s="1024"/>
      <c r="F54" s="1024"/>
      <c r="G54" s="1024"/>
      <c r="H54" s="1024"/>
      <c r="I54" s="1024"/>
      <c r="J54" s="1024"/>
      <c r="K54" s="1026"/>
      <c r="L54" s="1026"/>
      <c r="M54" s="1026"/>
      <c r="N54" s="1023"/>
      <c r="O54" s="1023"/>
      <c r="P54" s="1023"/>
      <c r="Q54" s="1023"/>
      <c r="R54" s="1025"/>
      <c r="S54" s="1025"/>
      <c r="T54" s="1025"/>
      <c r="U54" s="1025"/>
      <c r="V54" s="1027"/>
      <c r="W54" s="1027"/>
      <c r="X54" s="1027"/>
      <c r="Y54" s="1027"/>
      <c r="Z54" s="1022"/>
      <c r="AA54" s="1022"/>
      <c r="AB54" s="1022"/>
      <c r="AC54" s="1022"/>
      <c r="AD54" s="727"/>
      <c r="AV54" s="727"/>
      <c r="BA54" s="660"/>
      <c r="BB54" s="967"/>
      <c r="BC54" s="660"/>
      <c r="BD54" s="1025"/>
      <c r="BE54" s="1025"/>
      <c r="BF54" s="981"/>
      <c r="BG54" s="982"/>
      <c r="BH54" s="982"/>
      <c r="BI54" s="983"/>
      <c r="BJ54" s="983"/>
      <c r="BK54" s="983"/>
      <c r="BL54" s="983"/>
    </row>
    <row r="55" spans="1:64" ht="12.75" customHeight="1">
      <c r="A55" s="660"/>
      <c r="B55" s="660"/>
      <c r="C55" s="1024"/>
      <c r="D55" s="1024"/>
      <c r="E55" s="1024"/>
      <c r="F55" s="1024"/>
      <c r="G55" s="1024"/>
      <c r="H55" s="1024"/>
      <c r="I55" s="1024"/>
      <c r="J55" s="1024"/>
      <c r="K55" s="1026"/>
      <c r="L55" s="1026"/>
      <c r="M55" s="1026"/>
      <c r="N55" s="1023"/>
      <c r="O55" s="1023"/>
      <c r="P55" s="1023"/>
      <c r="Q55" s="1023"/>
      <c r="R55" s="1025"/>
      <c r="S55" s="1025"/>
      <c r="T55" s="1025"/>
      <c r="U55" s="1025"/>
      <c r="V55" s="1027"/>
      <c r="W55" s="1027"/>
      <c r="X55" s="1027"/>
      <c r="Y55" s="1027"/>
      <c r="Z55" s="1022"/>
      <c r="AA55" s="1022"/>
      <c r="AB55" s="1022"/>
      <c r="AC55" s="1022"/>
      <c r="AD55" s="727"/>
      <c r="AV55" s="727"/>
      <c r="BA55" s="660"/>
      <c r="BB55" s="967"/>
      <c r="BC55" s="660"/>
      <c r="BD55" s="1025"/>
      <c r="BE55" s="1025"/>
      <c r="BF55" s="981"/>
      <c r="BG55" s="982"/>
      <c r="BH55" s="982"/>
      <c r="BI55" s="983"/>
      <c r="BJ55" s="983"/>
      <c r="BK55" s="983"/>
      <c r="BL55" s="983"/>
    </row>
    <row r="56" spans="1:64" ht="12.75" customHeight="1">
      <c r="A56" s="660"/>
      <c r="B56" s="660"/>
      <c r="C56" s="1024"/>
      <c r="D56" s="1024"/>
      <c r="E56" s="1024"/>
      <c r="F56" s="1024"/>
      <c r="G56" s="1024"/>
      <c r="H56" s="1024"/>
      <c r="I56" s="1024"/>
      <c r="J56" s="1024"/>
      <c r="K56" s="1026"/>
      <c r="L56" s="1026"/>
      <c r="M56" s="1026"/>
      <c r="N56" s="1023"/>
      <c r="O56" s="1023"/>
      <c r="P56" s="1023"/>
      <c r="Q56" s="1023"/>
      <c r="R56" s="1025"/>
      <c r="S56" s="1025"/>
      <c r="T56" s="1025"/>
      <c r="U56" s="1025"/>
      <c r="V56" s="1027"/>
      <c r="W56" s="1027"/>
      <c r="X56" s="1027"/>
      <c r="Y56" s="1027"/>
      <c r="Z56" s="1022"/>
      <c r="AA56" s="1022"/>
      <c r="AB56" s="1022"/>
      <c r="AC56" s="1022"/>
      <c r="AD56" s="727"/>
      <c r="AV56" s="727"/>
      <c r="BA56" s="660"/>
      <c r="BB56" s="967"/>
      <c r="BC56" s="660"/>
      <c r="BD56" s="1025"/>
      <c r="BE56" s="1025"/>
      <c r="BF56" s="981"/>
      <c r="BG56" s="982"/>
      <c r="BH56" s="982"/>
      <c r="BI56" s="983"/>
      <c r="BJ56" s="983"/>
      <c r="BK56" s="983"/>
      <c r="BL56" s="983"/>
    </row>
    <row r="57" spans="1:64" ht="12.75" customHeight="1">
      <c r="A57" s="660"/>
      <c r="B57" s="660"/>
      <c r="C57" s="1024"/>
      <c r="D57" s="1024"/>
      <c r="E57" s="1024"/>
      <c r="F57" s="1024"/>
      <c r="G57" s="1024"/>
      <c r="H57" s="1024"/>
      <c r="I57" s="1024"/>
      <c r="J57" s="1024"/>
      <c r="K57" s="1026"/>
      <c r="L57" s="1026"/>
      <c r="M57" s="1026"/>
      <c r="N57" s="1023"/>
      <c r="O57" s="1023"/>
      <c r="P57" s="1023"/>
      <c r="Q57" s="1023"/>
      <c r="R57" s="1025"/>
      <c r="S57" s="1025"/>
      <c r="T57" s="1025"/>
      <c r="U57" s="1025"/>
      <c r="V57" s="1027"/>
      <c r="W57" s="1027"/>
      <c r="X57" s="1027"/>
      <c r="Y57" s="1027"/>
      <c r="Z57" s="1022"/>
      <c r="AA57" s="1022"/>
      <c r="AB57" s="1022"/>
      <c r="AC57" s="1022"/>
      <c r="AD57" s="727"/>
      <c r="AV57" s="727"/>
      <c r="BA57" s="660"/>
      <c r="BB57" s="967"/>
      <c r="BC57" s="660"/>
      <c r="BD57" s="1025"/>
      <c r="BE57" s="1025"/>
      <c r="BF57" s="981"/>
      <c r="BG57" s="982"/>
      <c r="BH57" s="982"/>
      <c r="BI57" s="983"/>
      <c r="BJ57" s="983"/>
      <c r="BK57" s="983"/>
      <c r="BL57" s="983"/>
    </row>
    <row r="58" spans="1:64" ht="12.75" customHeight="1">
      <c r="A58" s="660"/>
      <c r="B58" s="660"/>
      <c r="C58" s="1024"/>
      <c r="D58" s="1024"/>
      <c r="E58" s="1024"/>
      <c r="F58" s="1024"/>
      <c r="G58" s="1024"/>
      <c r="H58" s="1024"/>
      <c r="I58" s="1024"/>
      <c r="J58" s="1024"/>
      <c r="K58" s="1026"/>
      <c r="L58" s="1026"/>
      <c r="M58" s="1026"/>
      <c r="N58" s="1023"/>
      <c r="O58" s="1023"/>
      <c r="P58" s="1023"/>
      <c r="Q58" s="1023"/>
      <c r="R58" s="1025"/>
      <c r="S58" s="1025"/>
      <c r="T58" s="1025"/>
      <c r="U58" s="1025"/>
      <c r="V58" s="1027"/>
      <c r="W58" s="1027"/>
      <c r="X58" s="1027"/>
      <c r="Y58" s="1027"/>
      <c r="Z58" s="1022"/>
      <c r="AA58" s="1022"/>
      <c r="AB58" s="1022"/>
      <c r="AC58" s="1022"/>
      <c r="AD58" s="727"/>
      <c r="AV58" s="727"/>
      <c r="BA58" s="660"/>
      <c r="BB58" s="967"/>
      <c r="BC58" s="660"/>
      <c r="BD58" s="1025"/>
      <c r="BE58" s="1025"/>
      <c r="BF58" s="981"/>
      <c r="BG58" s="982"/>
      <c r="BH58" s="982"/>
      <c r="BI58" s="983"/>
      <c r="BJ58" s="983"/>
      <c r="BK58" s="983"/>
      <c r="BL58" s="983"/>
    </row>
    <row r="59" spans="1:64" ht="12.75" customHeight="1">
      <c r="A59" s="660"/>
      <c r="B59" s="660"/>
      <c r="C59" s="1024"/>
      <c r="D59" s="1024"/>
      <c r="E59" s="1024"/>
      <c r="F59" s="1024"/>
      <c r="G59" s="1024"/>
      <c r="H59" s="1024"/>
      <c r="I59" s="1024"/>
      <c r="J59" s="1024"/>
      <c r="K59" s="1026"/>
      <c r="L59" s="1026"/>
      <c r="M59" s="1026"/>
      <c r="N59" s="1023"/>
      <c r="O59" s="1023"/>
      <c r="P59" s="1023"/>
      <c r="Q59" s="1023"/>
      <c r="R59" s="1025"/>
      <c r="S59" s="1025"/>
      <c r="T59" s="1025"/>
      <c r="U59" s="1025"/>
      <c r="V59" s="1027"/>
      <c r="W59" s="1027"/>
      <c r="X59" s="1027"/>
      <c r="Y59" s="1027"/>
      <c r="Z59" s="1022"/>
      <c r="AA59" s="1022"/>
      <c r="AB59" s="1022"/>
      <c r="AC59" s="1022"/>
      <c r="AD59" s="727"/>
      <c r="AV59" s="727"/>
      <c r="BA59" s="660"/>
      <c r="BB59" s="967"/>
      <c r="BC59" s="660"/>
      <c r="BD59" s="1025"/>
      <c r="BE59" s="1025"/>
      <c r="BF59" s="981"/>
      <c r="BG59" s="982"/>
      <c r="BH59" s="982"/>
      <c r="BI59" s="983"/>
      <c r="BJ59" s="983"/>
      <c r="BK59" s="983"/>
      <c r="BL59" s="983"/>
    </row>
    <row r="60" spans="1:64" ht="12.75" customHeight="1">
      <c r="A60" s="660"/>
      <c r="B60" s="660"/>
      <c r="C60" s="1024"/>
      <c r="D60" s="1024"/>
      <c r="E60" s="1024"/>
      <c r="F60" s="1024"/>
      <c r="G60" s="1024"/>
      <c r="H60" s="1024"/>
      <c r="I60" s="1024"/>
      <c r="J60" s="1024"/>
      <c r="K60" s="1026"/>
      <c r="L60" s="1026"/>
      <c r="M60" s="1026"/>
      <c r="N60" s="1023"/>
      <c r="O60" s="1023"/>
      <c r="P60" s="1023"/>
      <c r="Q60" s="1023"/>
      <c r="R60" s="1025"/>
      <c r="S60" s="1025"/>
      <c r="T60" s="1025"/>
      <c r="U60" s="1025"/>
      <c r="V60" s="1027"/>
      <c r="W60" s="1027"/>
      <c r="X60" s="1027"/>
      <c r="Y60" s="1027"/>
      <c r="Z60" s="1022"/>
      <c r="AA60" s="1022"/>
      <c r="AB60" s="1022"/>
      <c r="AC60" s="1022"/>
      <c r="AD60" s="727"/>
      <c r="AV60" s="727"/>
      <c r="BA60" s="660"/>
      <c r="BB60" s="967"/>
      <c r="BC60" s="660"/>
      <c r="BD60" s="1025"/>
      <c r="BE60" s="1025"/>
      <c r="BF60" s="981"/>
      <c r="BG60" s="982"/>
      <c r="BH60" s="982"/>
      <c r="BI60" s="983"/>
      <c r="BJ60" s="983"/>
      <c r="BK60" s="983"/>
      <c r="BL60" s="983"/>
    </row>
    <row r="61" spans="1:64" ht="12.75" customHeight="1">
      <c r="A61" s="660"/>
      <c r="B61" s="660"/>
      <c r="C61" s="1024"/>
      <c r="D61" s="1024"/>
      <c r="E61" s="1024"/>
      <c r="F61" s="1024"/>
      <c r="G61" s="1024"/>
      <c r="H61" s="1024"/>
      <c r="I61" s="1024"/>
      <c r="J61" s="1024"/>
      <c r="K61" s="1026"/>
      <c r="L61" s="1026"/>
      <c r="M61" s="1026"/>
      <c r="N61" s="1023"/>
      <c r="O61" s="1023"/>
      <c r="P61" s="1023"/>
      <c r="Q61" s="1023"/>
      <c r="R61" s="1025"/>
      <c r="S61" s="1025"/>
      <c r="T61" s="1025"/>
      <c r="U61" s="1025"/>
      <c r="V61" s="1027"/>
      <c r="W61" s="1027"/>
      <c r="X61" s="1027"/>
      <c r="Y61" s="1027"/>
      <c r="Z61" s="1022"/>
      <c r="AA61" s="1022"/>
      <c r="AB61" s="1022"/>
      <c r="AC61" s="1022"/>
      <c r="AD61" s="727"/>
      <c r="AV61" s="727"/>
      <c r="BA61" s="660"/>
      <c r="BB61" s="967"/>
      <c r="BC61" s="660"/>
      <c r="BD61" s="1025"/>
      <c r="BE61" s="1025"/>
      <c r="BF61" s="981"/>
      <c r="BG61" s="982"/>
      <c r="BH61" s="982"/>
      <c r="BI61" s="983"/>
      <c r="BJ61" s="983"/>
      <c r="BK61" s="983"/>
      <c r="BL61" s="983"/>
    </row>
    <row r="62" spans="1:64" ht="12.75" customHeight="1">
      <c r="A62" s="660"/>
      <c r="B62" s="660"/>
      <c r="C62" s="1024"/>
      <c r="D62" s="1024"/>
      <c r="E62" s="1024"/>
      <c r="F62" s="1024"/>
      <c r="G62" s="1024"/>
      <c r="H62" s="1024"/>
      <c r="I62" s="1024"/>
      <c r="J62" s="1024"/>
      <c r="K62" s="1026"/>
      <c r="L62" s="1026"/>
      <c r="M62" s="1026"/>
      <c r="N62" s="1023"/>
      <c r="O62" s="1023"/>
      <c r="P62" s="1023"/>
      <c r="Q62" s="1023"/>
      <c r="R62" s="1025"/>
      <c r="S62" s="1025"/>
      <c r="T62" s="1025"/>
      <c r="U62" s="1025"/>
      <c r="V62" s="1027"/>
      <c r="W62" s="1027"/>
      <c r="X62" s="1027"/>
      <c r="Y62" s="1027"/>
      <c r="Z62" s="1022"/>
      <c r="AA62" s="1022"/>
      <c r="AB62" s="1022"/>
      <c r="AC62" s="1022"/>
      <c r="AD62" s="727"/>
      <c r="AV62" s="727"/>
      <c r="BA62" s="660"/>
      <c r="BB62" s="967"/>
      <c r="BC62" s="660"/>
      <c r="BD62" s="1025"/>
      <c r="BE62" s="1025"/>
      <c r="BF62" s="981"/>
      <c r="BG62" s="982"/>
      <c r="BH62" s="982"/>
      <c r="BI62" s="983"/>
      <c r="BJ62" s="983"/>
      <c r="BK62" s="983"/>
      <c r="BL62" s="983"/>
    </row>
    <row r="63" spans="1:64" ht="12.75" customHeight="1">
      <c r="A63" s="660"/>
      <c r="B63" s="660"/>
      <c r="C63" s="1024"/>
      <c r="D63" s="1024"/>
      <c r="E63" s="1024"/>
      <c r="F63" s="1024"/>
      <c r="G63" s="1024"/>
      <c r="H63" s="1024"/>
      <c r="I63" s="1024"/>
      <c r="J63" s="1024"/>
      <c r="K63" s="1026"/>
      <c r="L63" s="1026"/>
      <c r="M63" s="1026"/>
      <c r="N63" s="1023"/>
      <c r="O63" s="1023"/>
      <c r="P63" s="1023"/>
      <c r="Q63" s="1023"/>
      <c r="R63" s="1025"/>
      <c r="S63" s="1025"/>
      <c r="T63" s="1025"/>
      <c r="U63" s="1025"/>
      <c r="V63" s="1027"/>
      <c r="W63" s="1027"/>
      <c r="X63" s="1027"/>
      <c r="Y63" s="1027"/>
      <c r="Z63" s="1022"/>
      <c r="AA63" s="1022"/>
      <c r="AB63" s="1022"/>
      <c r="AC63" s="1022"/>
      <c r="AD63" s="727"/>
      <c r="AV63" s="727"/>
      <c r="BA63" s="660"/>
      <c r="BB63" s="967"/>
      <c r="BC63" s="660"/>
      <c r="BD63" s="1025"/>
      <c r="BE63" s="1025"/>
      <c r="BF63" s="981"/>
      <c r="BG63" s="982"/>
      <c r="BH63" s="982"/>
      <c r="BI63" s="983"/>
      <c r="BJ63" s="983"/>
      <c r="BK63" s="983"/>
      <c r="BL63" s="983"/>
    </row>
    <row r="64" spans="1:64" ht="12.75" customHeight="1">
      <c r="A64" s="660"/>
      <c r="B64" s="660"/>
      <c r="C64" s="1024"/>
      <c r="D64" s="1024"/>
      <c r="E64" s="1024"/>
      <c r="F64" s="1024"/>
      <c r="G64" s="1024"/>
      <c r="H64" s="1024"/>
      <c r="I64" s="1024"/>
      <c r="J64" s="1024"/>
      <c r="K64" s="1026"/>
      <c r="L64" s="1026"/>
      <c r="M64" s="1026"/>
      <c r="N64" s="1023"/>
      <c r="O64" s="1023"/>
      <c r="P64" s="1023"/>
      <c r="Q64" s="1023"/>
      <c r="R64" s="1025"/>
      <c r="S64" s="1025"/>
      <c r="T64" s="1025"/>
      <c r="U64" s="1025"/>
      <c r="V64" s="1027"/>
      <c r="W64" s="1027"/>
      <c r="X64" s="1027"/>
      <c r="Y64" s="1027"/>
      <c r="Z64" s="1022"/>
      <c r="AA64" s="1022"/>
      <c r="AB64" s="1022"/>
      <c r="AC64" s="1022"/>
      <c r="AD64" s="727"/>
      <c r="AV64" s="727"/>
      <c r="BA64" s="660"/>
      <c r="BB64" s="967"/>
      <c r="BC64" s="660"/>
      <c r="BD64" s="1025"/>
      <c r="BE64" s="1025"/>
      <c r="BF64" s="981"/>
      <c r="BG64" s="982"/>
      <c r="BH64" s="982"/>
      <c r="BI64" s="983"/>
      <c r="BJ64" s="983"/>
      <c r="BK64" s="983"/>
      <c r="BL64" s="983"/>
    </row>
    <row r="65" spans="1:65" ht="12.75" customHeight="1">
      <c r="A65" s="660"/>
      <c r="B65" s="660"/>
      <c r="C65" s="1024"/>
      <c r="D65" s="1024"/>
      <c r="E65" s="1024"/>
      <c r="F65" s="1024"/>
      <c r="G65" s="1024"/>
      <c r="H65" s="1024"/>
      <c r="I65" s="1024"/>
      <c r="J65" s="1024"/>
      <c r="K65" s="1026"/>
      <c r="L65" s="1026"/>
      <c r="M65" s="1026"/>
      <c r="N65" s="1023"/>
      <c r="O65" s="1023"/>
      <c r="P65" s="1023"/>
      <c r="Q65" s="1023"/>
      <c r="R65" s="1025"/>
      <c r="S65" s="1025"/>
      <c r="T65" s="1025"/>
      <c r="U65" s="1025"/>
      <c r="V65" s="1027"/>
      <c r="W65" s="1027"/>
      <c r="X65" s="1027"/>
      <c r="Y65" s="1027"/>
      <c r="Z65" s="1022"/>
      <c r="AA65" s="1022"/>
      <c r="AB65" s="1022"/>
      <c r="AC65" s="1022"/>
      <c r="AD65" s="727"/>
      <c r="AV65" s="727"/>
      <c r="BA65" s="660"/>
      <c r="BB65" s="967"/>
      <c r="BC65" s="660"/>
      <c r="BD65" s="1025"/>
      <c r="BE65" s="1025"/>
      <c r="BF65" s="981"/>
      <c r="BG65" s="982"/>
      <c r="BH65" s="982"/>
      <c r="BI65" s="983"/>
      <c r="BJ65" s="983"/>
      <c r="BK65" s="983"/>
      <c r="BL65" s="983"/>
    </row>
    <row r="66" spans="1:65" ht="12.75" customHeight="1">
      <c r="A66" s="660"/>
      <c r="B66" s="660"/>
      <c r="C66" s="1024"/>
      <c r="D66" s="1024"/>
      <c r="E66" s="1024"/>
      <c r="F66" s="1024"/>
      <c r="G66" s="1024"/>
      <c r="H66" s="1024"/>
      <c r="I66" s="1024"/>
      <c r="J66" s="1024"/>
      <c r="K66" s="1026"/>
      <c r="L66" s="1026"/>
      <c r="M66" s="1026"/>
      <c r="N66" s="1023"/>
      <c r="O66" s="1023"/>
      <c r="P66" s="1023"/>
      <c r="Q66" s="1023"/>
      <c r="R66" s="1025"/>
      <c r="S66" s="1025"/>
      <c r="T66" s="1025"/>
      <c r="U66" s="1025"/>
      <c r="V66" s="1027"/>
      <c r="W66" s="1027"/>
      <c r="X66" s="1027"/>
      <c r="Y66" s="1027"/>
      <c r="Z66" s="1022"/>
      <c r="AA66" s="1022"/>
      <c r="AB66" s="1022"/>
      <c r="AC66" s="1022"/>
      <c r="AD66" s="727"/>
      <c r="AV66" s="727"/>
      <c r="BA66" s="660"/>
      <c r="BB66" s="967"/>
      <c r="BC66" s="660"/>
      <c r="BD66" s="1025"/>
      <c r="BE66" s="1025"/>
      <c r="BF66" s="981"/>
      <c r="BG66" s="982"/>
      <c r="BH66" s="982"/>
      <c r="BI66" s="983"/>
      <c r="BJ66" s="983"/>
      <c r="BK66" s="983"/>
      <c r="BL66" s="983"/>
    </row>
    <row r="67" spans="1:65" ht="12.75" customHeight="1">
      <c r="A67" s="660"/>
      <c r="B67" s="660"/>
      <c r="C67" s="1024"/>
      <c r="D67" s="1024"/>
      <c r="E67" s="1024"/>
      <c r="F67" s="1024"/>
      <c r="G67" s="1024"/>
      <c r="H67" s="1024"/>
      <c r="I67" s="1024"/>
      <c r="J67" s="1024"/>
      <c r="K67" s="1026"/>
      <c r="L67" s="1026"/>
      <c r="M67" s="1026"/>
      <c r="N67" s="1023"/>
      <c r="O67" s="1023"/>
      <c r="P67" s="1023"/>
      <c r="Q67" s="1023"/>
      <c r="R67" s="1025"/>
      <c r="S67" s="1025"/>
      <c r="T67" s="1025"/>
      <c r="U67" s="1025"/>
      <c r="V67" s="1027"/>
      <c r="W67" s="1027"/>
      <c r="X67" s="1027"/>
      <c r="Y67" s="1027"/>
      <c r="Z67" s="1022"/>
      <c r="AA67" s="1022"/>
      <c r="AB67" s="1022"/>
      <c r="AC67" s="1022"/>
      <c r="AD67" s="727"/>
      <c r="AV67" s="727"/>
      <c r="BA67" s="660"/>
      <c r="BB67" s="967"/>
      <c r="BC67" s="660"/>
      <c r="BD67" s="1025"/>
      <c r="BE67" s="1025"/>
      <c r="BF67" s="981"/>
      <c r="BG67" s="982"/>
      <c r="BH67" s="982"/>
      <c r="BI67" s="983"/>
      <c r="BJ67" s="983"/>
      <c r="BK67" s="983"/>
      <c r="BL67" s="983"/>
    </row>
    <row r="68" spans="1:65" ht="12.75" customHeight="1">
      <c r="A68" s="660"/>
      <c r="B68" s="660"/>
      <c r="C68" s="1024"/>
      <c r="D68" s="1024"/>
      <c r="E68" s="1024"/>
      <c r="F68" s="1024"/>
      <c r="G68" s="1024"/>
      <c r="H68" s="1024"/>
      <c r="I68" s="1024"/>
      <c r="J68" s="1024"/>
      <c r="K68" s="1026"/>
      <c r="L68" s="1026"/>
      <c r="M68" s="1026"/>
      <c r="N68" s="1023"/>
      <c r="O68" s="1023"/>
      <c r="P68" s="1023"/>
      <c r="Q68" s="1023"/>
      <c r="R68" s="1025"/>
      <c r="S68" s="1025"/>
      <c r="T68" s="1025"/>
      <c r="U68" s="1025"/>
      <c r="V68" s="1027"/>
      <c r="W68" s="1027"/>
      <c r="X68" s="1027"/>
      <c r="Y68" s="1027"/>
      <c r="Z68" s="1022"/>
      <c r="AA68" s="1022"/>
      <c r="AB68" s="1022"/>
      <c r="AC68" s="1022"/>
      <c r="AD68" s="727"/>
      <c r="AV68" s="727"/>
      <c r="BA68" s="660"/>
      <c r="BB68" s="967"/>
      <c r="BC68" s="660"/>
      <c r="BD68" s="1025"/>
      <c r="BE68" s="1025"/>
      <c r="BF68" s="981"/>
      <c r="BG68" s="982"/>
      <c r="BH68" s="982"/>
      <c r="BI68" s="983"/>
      <c r="BJ68" s="983"/>
      <c r="BK68" s="983"/>
      <c r="BL68" s="983"/>
    </row>
    <row r="69" spans="1:65" ht="12.75" customHeight="1">
      <c r="A69" s="660"/>
      <c r="B69" s="660"/>
      <c r="C69" s="1024"/>
      <c r="D69" s="1024"/>
      <c r="E69" s="1024"/>
      <c r="F69" s="1024"/>
      <c r="G69" s="1024"/>
      <c r="H69" s="1024"/>
      <c r="I69" s="1024"/>
      <c r="J69" s="1024"/>
      <c r="K69" s="1026"/>
      <c r="L69" s="1026"/>
      <c r="M69" s="1026"/>
      <c r="N69" s="1023"/>
      <c r="O69" s="1023"/>
      <c r="P69" s="1023"/>
      <c r="Q69" s="1023"/>
      <c r="R69" s="1025"/>
      <c r="S69" s="1025"/>
      <c r="T69" s="1025"/>
      <c r="U69" s="1025"/>
      <c r="V69" s="1027"/>
      <c r="W69" s="1027"/>
      <c r="X69" s="1027"/>
      <c r="Y69" s="1027"/>
      <c r="Z69" s="1022"/>
      <c r="AA69" s="1022"/>
      <c r="AB69" s="1022"/>
      <c r="AC69" s="1022"/>
      <c r="AD69" s="727"/>
      <c r="AV69" s="727"/>
      <c r="BA69" s="660"/>
      <c r="BB69" s="967"/>
      <c r="BC69" s="660"/>
      <c r="BD69" s="1025"/>
      <c r="BE69" s="1025"/>
      <c r="BF69" s="981"/>
      <c r="BG69" s="982"/>
      <c r="BH69" s="982"/>
      <c r="BI69" s="983"/>
      <c r="BJ69" s="983"/>
      <c r="BK69" s="983"/>
      <c r="BL69" s="983"/>
    </row>
    <row r="70" spans="1:65" ht="12.75" customHeight="1">
      <c r="A70" s="660"/>
      <c r="B70" s="660"/>
      <c r="C70" s="1024"/>
      <c r="D70" s="1024"/>
      <c r="E70" s="1024"/>
      <c r="F70" s="1024"/>
      <c r="G70" s="1024"/>
      <c r="H70" s="1024"/>
      <c r="I70" s="1024"/>
      <c r="J70" s="1024"/>
      <c r="K70" s="1026"/>
      <c r="L70" s="1026"/>
      <c r="M70" s="1026"/>
      <c r="N70" s="1023"/>
      <c r="O70" s="1023"/>
      <c r="P70" s="1023"/>
      <c r="Q70" s="1023"/>
      <c r="R70" s="1025"/>
      <c r="S70" s="1025"/>
      <c r="T70" s="1025"/>
      <c r="U70" s="1025"/>
      <c r="V70" s="1027"/>
      <c r="W70" s="1027"/>
      <c r="X70" s="1027"/>
      <c r="Y70" s="1027"/>
      <c r="Z70" s="1022"/>
      <c r="AA70" s="1022"/>
      <c r="AB70" s="1022"/>
      <c r="AC70" s="1022"/>
      <c r="AD70" s="727"/>
      <c r="AV70" s="727"/>
      <c r="BA70" s="660"/>
      <c r="BB70" s="967"/>
      <c r="BC70" s="660"/>
      <c r="BD70" s="1025"/>
      <c r="BE70" s="1025"/>
      <c r="BF70" s="981"/>
      <c r="BG70" s="982"/>
      <c r="BH70" s="982"/>
      <c r="BI70" s="983"/>
      <c r="BJ70" s="983"/>
      <c r="BK70" s="983"/>
      <c r="BL70" s="983"/>
    </row>
    <row r="71" spans="1:65" ht="12.75" customHeight="1">
      <c r="A71" s="660"/>
      <c r="B71" s="660"/>
      <c r="C71" s="1024"/>
      <c r="D71" s="1024"/>
      <c r="E71" s="1024"/>
      <c r="F71" s="1024"/>
      <c r="G71" s="1024"/>
      <c r="H71" s="1024"/>
      <c r="I71" s="1024"/>
      <c r="J71" s="1024"/>
      <c r="K71" s="1026"/>
      <c r="L71" s="1026"/>
      <c r="M71" s="1026"/>
      <c r="N71" s="1023"/>
      <c r="O71" s="1023"/>
      <c r="P71" s="1023"/>
      <c r="Q71" s="1023"/>
      <c r="R71" s="1025"/>
      <c r="S71" s="1025"/>
      <c r="T71" s="1025"/>
      <c r="U71" s="1025"/>
      <c r="V71" s="1027"/>
      <c r="W71" s="1027"/>
      <c r="X71" s="1027"/>
      <c r="Y71" s="1027"/>
      <c r="Z71" s="1022"/>
      <c r="AA71" s="1022"/>
      <c r="AB71" s="1022"/>
      <c r="AC71" s="1022"/>
      <c r="AD71" s="727"/>
      <c r="AV71" s="727"/>
      <c r="BA71" s="660"/>
      <c r="BB71" s="967"/>
      <c r="BC71" s="660"/>
      <c r="BD71" s="1025"/>
      <c r="BE71" s="1025"/>
      <c r="BF71" s="981"/>
      <c r="BG71" s="982"/>
      <c r="BH71" s="982"/>
      <c r="BI71" s="983"/>
      <c r="BJ71" s="983"/>
      <c r="BK71" s="983"/>
      <c r="BL71" s="983"/>
    </row>
    <row r="72" spans="1:65" ht="12.75" customHeight="1">
      <c r="A72" s="660"/>
      <c r="B72" s="660"/>
      <c r="C72" s="1024"/>
      <c r="D72" s="1024"/>
      <c r="E72" s="1024"/>
      <c r="F72" s="1024"/>
      <c r="G72" s="1024"/>
      <c r="H72" s="1024"/>
      <c r="I72" s="1024"/>
      <c r="J72" s="1024"/>
      <c r="K72" s="1026"/>
      <c r="L72" s="1026"/>
      <c r="M72" s="1026"/>
      <c r="N72" s="1023"/>
      <c r="O72" s="1023"/>
      <c r="P72" s="1023"/>
      <c r="Q72" s="1023"/>
      <c r="R72" s="1025"/>
      <c r="S72" s="1025"/>
      <c r="T72" s="1025"/>
      <c r="U72" s="1025"/>
      <c r="V72" s="1027"/>
      <c r="W72" s="1027"/>
      <c r="X72" s="1027"/>
      <c r="Y72" s="1027"/>
      <c r="Z72" s="1022"/>
      <c r="AA72" s="1022"/>
      <c r="AB72" s="1022"/>
      <c r="AC72" s="1022"/>
      <c r="AD72" s="727"/>
      <c r="AV72" s="727"/>
      <c r="BA72" s="660"/>
      <c r="BB72" s="967"/>
      <c r="BC72" s="660"/>
      <c r="BD72" s="1025"/>
      <c r="BE72" s="1025"/>
      <c r="BF72" s="981"/>
      <c r="BG72" s="982"/>
      <c r="BH72" s="982"/>
      <c r="BI72" s="983"/>
      <c r="BJ72" s="983"/>
      <c r="BK72" s="983"/>
      <c r="BL72" s="983"/>
    </row>
    <row r="73" spans="1:65" ht="12.75" customHeight="1">
      <c r="A73" s="660"/>
      <c r="B73" s="660"/>
      <c r="C73" s="1024"/>
      <c r="D73" s="1024"/>
      <c r="E73" s="1024"/>
      <c r="F73" s="1024"/>
      <c r="G73" s="1024"/>
      <c r="H73" s="1024"/>
      <c r="I73" s="1024"/>
      <c r="J73" s="1024"/>
      <c r="K73" s="1026"/>
      <c r="L73" s="1026"/>
      <c r="M73" s="1026"/>
      <c r="N73" s="1023"/>
      <c r="O73" s="1023"/>
      <c r="P73" s="1023"/>
      <c r="Q73" s="1023"/>
      <c r="R73" s="1025"/>
      <c r="S73" s="1025"/>
      <c r="T73" s="1025"/>
      <c r="U73" s="1025"/>
      <c r="V73" s="1027"/>
      <c r="W73" s="1027"/>
      <c r="X73" s="1027"/>
      <c r="Y73" s="1027"/>
      <c r="Z73" s="1022"/>
      <c r="AA73" s="1022"/>
      <c r="AB73" s="1022"/>
      <c r="AC73" s="1022"/>
      <c r="AD73" s="727"/>
      <c r="AV73" s="727"/>
      <c r="BA73" s="660"/>
      <c r="BB73" s="967"/>
      <c r="BC73" s="660"/>
      <c r="BD73" s="1025"/>
      <c r="BE73" s="1025"/>
      <c r="BF73" s="981"/>
      <c r="BG73" s="982"/>
      <c r="BH73" s="982"/>
      <c r="BI73" s="983"/>
      <c r="BJ73" s="983"/>
      <c r="BK73" s="983"/>
      <c r="BL73" s="983"/>
    </row>
    <row r="74" spans="1:65" ht="12.75" customHeight="1">
      <c r="A74" s="660"/>
      <c r="B74" s="660"/>
      <c r="C74" s="1024"/>
      <c r="D74" s="1024"/>
      <c r="E74" s="1024"/>
      <c r="F74" s="1024"/>
      <c r="G74" s="1024"/>
      <c r="H74" s="1024"/>
      <c r="I74" s="1024"/>
      <c r="J74" s="1024"/>
      <c r="K74" s="1026"/>
      <c r="L74" s="1026"/>
      <c r="M74" s="1026"/>
      <c r="N74" s="1023"/>
      <c r="O74" s="1023"/>
      <c r="P74" s="1023"/>
      <c r="Q74" s="1023"/>
      <c r="R74" s="1025"/>
      <c r="S74" s="1025"/>
      <c r="T74" s="1025"/>
      <c r="U74" s="1025"/>
      <c r="V74" s="1027"/>
      <c r="W74" s="1027"/>
      <c r="X74" s="1027"/>
      <c r="Y74" s="1027"/>
      <c r="Z74" s="1022"/>
      <c r="AA74" s="1022"/>
      <c r="AB74" s="1022"/>
      <c r="AC74" s="1022"/>
      <c r="AD74" s="727"/>
      <c r="AV74" s="727"/>
      <c r="BA74" s="660"/>
      <c r="BB74" s="967"/>
      <c r="BC74" s="660"/>
      <c r="BD74" s="1025"/>
      <c r="BE74" s="1025"/>
      <c r="BF74" s="981"/>
      <c r="BG74" s="982"/>
      <c r="BH74" s="982"/>
      <c r="BI74" s="983"/>
      <c r="BJ74" s="983"/>
      <c r="BK74" s="983"/>
      <c r="BL74" s="983"/>
    </row>
    <row r="75" spans="1:65" ht="12.75" customHeight="1">
      <c r="A75" s="660"/>
      <c r="B75" s="660"/>
      <c r="C75" s="1024"/>
      <c r="D75" s="1024"/>
      <c r="E75" s="1024"/>
      <c r="F75" s="1024"/>
      <c r="G75" s="1024"/>
      <c r="H75" s="1024"/>
      <c r="I75" s="1024"/>
      <c r="J75" s="1024"/>
      <c r="K75" s="1026"/>
      <c r="L75" s="1026"/>
      <c r="M75" s="1026"/>
      <c r="N75" s="1023"/>
      <c r="O75" s="1023"/>
      <c r="P75" s="1023"/>
      <c r="Q75" s="1023"/>
      <c r="R75" s="1025"/>
      <c r="S75" s="1025"/>
      <c r="T75" s="1025"/>
      <c r="U75" s="1025"/>
      <c r="V75" s="1027"/>
      <c r="W75" s="1027"/>
      <c r="X75" s="1027"/>
      <c r="Y75" s="1027"/>
      <c r="Z75" s="1022"/>
      <c r="AA75" s="1022"/>
      <c r="AB75" s="1022"/>
      <c r="AC75" s="1022"/>
      <c r="AD75" s="727"/>
      <c r="AV75" s="727"/>
      <c r="BA75" s="660"/>
      <c r="BB75" s="967"/>
      <c r="BC75" s="660"/>
      <c r="BD75" s="1025"/>
      <c r="BE75" s="1025"/>
      <c r="BF75" s="981"/>
      <c r="BG75" s="982"/>
      <c r="BH75" s="982"/>
      <c r="BI75" s="983"/>
      <c r="BJ75" s="983"/>
      <c r="BK75" s="983"/>
      <c r="BL75" s="983"/>
    </row>
    <row r="76" spans="1:65" ht="12.75" customHeight="1">
      <c r="A76" s="660"/>
      <c r="B76" s="660"/>
      <c r="C76" s="1024"/>
      <c r="D76" s="1024"/>
      <c r="E76" s="1024"/>
      <c r="F76" s="1024"/>
      <c r="G76" s="1024"/>
      <c r="H76" s="1024"/>
      <c r="I76" s="1024"/>
      <c r="J76" s="1024"/>
      <c r="K76" s="1026"/>
      <c r="L76" s="1026"/>
      <c r="M76" s="1026"/>
      <c r="N76" s="1023"/>
      <c r="O76" s="1023"/>
      <c r="P76" s="1023"/>
      <c r="Q76" s="1023"/>
      <c r="R76" s="1025"/>
      <c r="S76" s="1025"/>
      <c r="T76" s="1025"/>
      <c r="U76" s="1025"/>
      <c r="V76" s="1027"/>
      <c r="W76" s="1027"/>
      <c r="X76" s="1027"/>
      <c r="Y76" s="1027"/>
      <c r="Z76" s="1022"/>
      <c r="AA76" s="1022"/>
      <c r="AB76" s="1022"/>
      <c r="AC76" s="1022"/>
      <c r="AD76" s="727"/>
      <c r="AV76" s="727"/>
      <c r="BA76" s="660"/>
      <c r="BB76" s="967"/>
      <c r="BC76" s="660"/>
      <c r="BD76" s="1025"/>
      <c r="BE76" s="1025"/>
      <c r="BF76" s="981"/>
      <c r="BG76" s="982"/>
      <c r="BH76" s="982"/>
      <c r="BI76" s="983"/>
      <c r="BJ76" s="983"/>
      <c r="BK76" s="983"/>
      <c r="BL76" s="983"/>
    </row>
    <row r="77" spans="1:65" ht="12.75" customHeight="1">
      <c r="A77" s="1045"/>
      <c r="B77" s="1045"/>
      <c r="C77" s="1045"/>
      <c r="D77" s="1045"/>
      <c r="E77" s="1045"/>
      <c r="F77" s="1045"/>
      <c r="G77" s="1045"/>
      <c r="H77" s="1045"/>
      <c r="I77" s="1045"/>
      <c r="J77" s="1045"/>
      <c r="K77" s="1045"/>
      <c r="L77" s="1045"/>
      <c r="M77" s="1045"/>
      <c r="N77" s="1045"/>
      <c r="O77" s="1045"/>
      <c r="P77" s="1045"/>
      <c r="Q77" s="1045"/>
      <c r="R77" s="1045"/>
      <c r="S77" s="1045"/>
      <c r="T77" s="1045"/>
      <c r="U77" s="1045"/>
      <c r="V77" s="1045"/>
      <c r="W77" s="1045"/>
      <c r="X77" s="1045"/>
      <c r="Y77" s="1045"/>
      <c r="Z77" s="1045"/>
      <c r="AA77" s="1045"/>
      <c r="AB77" s="1045"/>
      <c r="AC77" s="1045"/>
      <c r="AD77" s="1045"/>
      <c r="AE77" s="1045"/>
      <c r="AF77" s="1045"/>
      <c r="AG77" s="1045"/>
      <c r="AH77" s="1045"/>
      <c r="AI77" s="1045"/>
      <c r="AJ77" s="1045"/>
      <c r="AK77" s="1045"/>
      <c r="AL77" s="1045"/>
      <c r="AM77" s="1045"/>
      <c r="AN77" s="1045"/>
      <c r="AO77" s="1045"/>
      <c r="AP77" s="1045"/>
      <c r="AQ77" s="1045"/>
      <c r="AR77" s="1045"/>
      <c r="AS77" s="1045"/>
      <c r="AT77" s="1045"/>
      <c r="AU77" s="1045"/>
      <c r="AV77" s="1045"/>
      <c r="AW77" s="1045"/>
      <c r="AX77" s="1045"/>
      <c r="AY77" s="1045"/>
      <c r="AZ77" s="1045"/>
      <c r="BA77" s="660"/>
      <c r="BB77" s="971"/>
      <c r="BC77" s="660"/>
      <c r="BD77" s="973"/>
      <c r="BE77" s="973"/>
      <c r="BF77" s="981"/>
      <c r="BG77" s="982"/>
      <c r="BH77" s="982"/>
      <c r="BI77" s="983"/>
      <c r="BJ77" s="983"/>
      <c r="BK77" s="983"/>
      <c r="BL77" s="983"/>
    </row>
    <row r="78" spans="1:65" ht="12.75" customHeight="1">
      <c r="A78" s="726"/>
      <c r="B78" s="726"/>
      <c r="C78" s="1048" t="s">
        <v>659</v>
      </c>
      <c r="D78" s="1048"/>
      <c r="E78" s="1048"/>
      <c r="F78" s="1048"/>
      <c r="G78" s="1048"/>
      <c r="H78" s="1048"/>
      <c r="I78" s="1048"/>
      <c r="J78" s="1048"/>
      <c r="K78" s="1048" t="s">
        <v>669</v>
      </c>
      <c r="L78" s="1048"/>
      <c r="M78" s="1048"/>
      <c r="N78" s="1048" t="s">
        <v>100</v>
      </c>
      <c r="O78" s="1048"/>
      <c r="P78" s="1048"/>
      <c r="Q78" s="1048"/>
      <c r="R78" s="1049" t="s">
        <v>646</v>
      </c>
      <c r="S78" s="1049"/>
      <c r="T78" s="1049"/>
      <c r="U78" s="1049"/>
      <c r="V78" s="1043" t="s">
        <v>109</v>
      </c>
      <c r="W78" s="1043"/>
      <c r="X78" s="1043"/>
      <c r="Y78" s="1043"/>
      <c r="Z78" s="1043" t="s">
        <v>654</v>
      </c>
      <c r="AA78" s="1043"/>
      <c r="AB78" s="1043"/>
      <c r="AC78" s="1043"/>
      <c r="AD78" s="1043" t="s">
        <v>680</v>
      </c>
      <c r="AE78" s="1043"/>
      <c r="AF78" s="1043"/>
      <c r="AG78" s="1043"/>
      <c r="AH78" s="1043" t="s">
        <v>681</v>
      </c>
      <c r="AI78" s="1043"/>
      <c r="AJ78" s="1043"/>
      <c r="AK78" s="1043"/>
      <c r="AL78" s="1043" t="s">
        <v>682</v>
      </c>
      <c r="AM78" s="1043"/>
      <c r="AN78" s="1043"/>
      <c r="AO78" s="1043"/>
      <c r="BA78" s="660"/>
      <c r="BB78" s="660"/>
      <c r="BC78" s="660"/>
      <c r="BD78" s="973"/>
      <c r="BE78" s="973"/>
      <c r="BF78" s="981"/>
      <c r="BG78" s="982"/>
      <c r="BH78" s="982"/>
      <c r="BI78" s="983"/>
      <c r="BJ78" s="983"/>
      <c r="BK78" s="983"/>
      <c r="BL78" s="983"/>
    </row>
    <row r="79" spans="1:65" ht="12.75" customHeight="1">
      <c r="A79" s="687"/>
      <c r="B79" s="687" t="s">
        <v>22</v>
      </c>
      <c r="C79" s="1044" t="s">
        <v>665</v>
      </c>
      <c r="D79" s="1044"/>
      <c r="E79" s="1044"/>
      <c r="F79" s="1044"/>
      <c r="G79" s="1044"/>
      <c r="H79" s="1044"/>
      <c r="I79" s="1044"/>
      <c r="J79" s="1044"/>
      <c r="K79" s="1051">
        <v>50000</v>
      </c>
      <c r="L79" s="1051"/>
      <c r="M79" s="1051"/>
      <c r="N79" s="1036">
        <v>1</v>
      </c>
      <c r="O79" s="1036"/>
      <c r="P79" s="1036"/>
      <c r="Q79" s="1036"/>
      <c r="R79" s="1034">
        <f>K79*N79</f>
        <v>50000</v>
      </c>
      <c r="S79" s="1034"/>
      <c r="T79" s="1034"/>
      <c r="U79" s="1034"/>
      <c r="V79" s="1039">
        <f>R79/$AW$24</f>
        <v>3846.1538461538462</v>
      </c>
      <c r="W79" s="1038"/>
      <c r="X79" s="1038"/>
      <c r="Y79" s="1038"/>
      <c r="Z79" s="1028">
        <f>IF($AW$26=0,0,IF(B79="x",R79/$AW$26,0))*($AW$27/100)</f>
        <v>4166.666666666667</v>
      </c>
      <c r="AA79" s="1028"/>
      <c r="AB79" s="1028"/>
      <c r="AC79" s="1028"/>
      <c r="AD79" s="1040"/>
      <c r="AE79" s="1040"/>
      <c r="AF79" s="1040"/>
      <c r="AG79" s="1040"/>
      <c r="AH79" s="1040"/>
      <c r="AI79" s="1040"/>
      <c r="AJ79" s="1040"/>
      <c r="AK79" s="1040"/>
      <c r="AL79" s="1040"/>
      <c r="AM79" s="1040"/>
      <c r="AN79" s="1040"/>
      <c r="AO79" s="1040"/>
      <c r="AP79" s="968"/>
      <c r="AQ79" s="968"/>
      <c r="BA79" s="729"/>
      <c r="BB79" s="1040" t="s">
        <v>235</v>
      </c>
      <c r="BC79" s="1040"/>
      <c r="BD79" s="1040"/>
      <c r="BE79" s="1040"/>
      <c r="BF79" s="1040"/>
      <c r="BG79" s="1040"/>
      <c r="BH79" s="1040"/>
      <c r="BI79" s="1040"/>
      <c r="BJ79" s="1055" t="s">
        <v>669</v>
      </c>
      <c r="BK79" s="1055"/>
      <c r="BL79" s="659" t="s">
        <v>196</v>
      </c>
      <c r="BM79" s="663"/>
    </row>
    <row r="80" spans="1:65" ht="12.75" customHeight="1">
      <c r="A80" s="687"/>
      <c r="B80" s="687" t="s">
        <v>22</v>
      </c>
      <c r="C80" s="1044" t="s">
        <v>664</v>
      </c>
      <c r="D80" s="1044"/>
      <c r="E80" s="1044"/>
      <c r="F80" s="1044"/>
      <c r="G80" s="1044"/>
      <c r="H80" s="1044"/>
      <c r="I80" s="1044"/>
      <c r="J80" s="1044"/>
      <c r="K80" s="660"/>
      <c r="L80" s="660"/>
      <c r="M80" s="660"/>
      <c r="N80" s="660"/>
      <c r="O80" s="972"/>
      <c r="P80" s="972"/>
      <c r="Q80" s="660"/>
      <c r="R80" s="660"/>
      <c r="S80" s="660"/>
      <c r="T80" s="660"/>
      <c r="U80" s="660"/>
      <c r="V80" s="660"/>
      <c r="W80" s="660"/>
      <c r="X80" s="660"/>
      <c r="Y80" s="660"/>
      <c r="BA80" s="729"/>
      <c r="BB80" s="1041" t="s">
        <v>238</v>
      </c>
      <c r="BC80" s="1041"/>
      <c r="BD80" s="1041"/>
      <c r="BE80" s="1041"/>
      <c r="BF80" s="1041"/>
      <c r="BG80" s="1041"/>
      <c r="BH80" s="1041"/>
      <c r="BI80" s="1041"/>
      <c r="BJ80" s="1030"/>
      <c r="BK80" s="1030"/>
      <c r="BL80" s="723"/>
      <c r="BM80" s="663"/>
    </row>
    <row r="81" spans="1:68" ht="12.75" customHeight="1">
      <c r="A81" s="687"/>
      <c r="B81" s="687" t="s">
        <v>22</v>
      </c>
      <c r="C81" s="1044" t="s">
        <v>667</v>
      </c>
      <c r="D81" s="1044"/>
      <c r="E81" s="1044"/>
      <c r="F81" s="1044"/>
      <c r="G81" s="1044"/>
      <c r="H81" s="1044"/>
      <c r="I81" s="1044"/>
      <c r="J81" s="1044"/>
      <c r="K81" s="660"/>
      <c r="L81" s="660"/>
      <c r="M81" s="660"/>
      <c r="N81" s="660"/>
      <c r="O81" s="972"/>
      <c r="P81" s="972"/>
      <c r="Q81" s="660"/>
      <c r="R81" s="660"/>
      <c r="S81" s="660"/>
      <c r="T81" s="660"/>
      <c r="U81" s="660"/>
      <c r="V81" s="660"/>
      <c r="W81" s="660"/>
      <c r="X81" s="660"/>
      <c r="Y81" s="660"/>
      <c r="BA81" s="729"/>
      <c r="BB81" s="1041" t="s">
        <v>241</v>
      </c>
      <c r="BC81" s="1041"/>
      <c r="BD81" s="1041"/>
      <c r="BE81" s="1041"/>
      <c r="BF81" s="1041"/>
      <c r="BG81" s="1041"/>
      <c r="BH81" s="1041"/>
      <c r="BI81" s="1041"/>
      <c r="BM81" s="663"/>
    </row>
    <row r="82" spans="1:68" ht="12.75" customHeight="1">
      <c r="A82" s="687"/>
      <c r="B82" s="687" t="s">
        <v>22</v>
      </c>
      <c r="C82" s="1044" t="s">
        <v>663</v>
      </c>
      <c r="D82" s="1044"/>
      <c r="E82" s="1044"/>
      <c r="F82" s="1044"/>
      <c r="G82" s="1044"/>
      <c r="H82" s="1044"/>
      <c r="I82" s="1044"/>
      <c r="J82" s="1044"/>
      <c r="S82" s="660"/>
      <c r="T82" s="660"/>
      <c r="U82" s="660"/>
      <c r="V82" s="660"/>
      <c r="W82" s="660"/>
      <c r="X82" s="660"/>
      <c r="Y82" s="660"/>
      <c r="BB82" s="1040" t="s">
        <v>244</v>
      </c>
      <c r="BC82" s="1040"/>
      <c r="BD82" s="1040"/>
      <c r="BE82" s="1040"/>
      <c r="BF82" s="1040"/>
      <c r="BG82" s="1040"/>
      <c r="BH82" s="1040"/>
      <c r="BI82" s="1040"/>
      <c r="BL82" s="663"/>
      <c r="BM82" s="663"/>
      <c r="BN82" s="731"/>
      <c r="BO82" s="732"/>
    </row>
    <row r="83" spans="1:68" ht="12.75" customHeight="1">
      <c r="A83" s="687"/>
      <c r="B83" s="687"/>
      <c r="C83" s="1044" t="s">
        <v>661</v>
      </c>
      <c r="D83" s="1044"/>
      <c r="E83" s="1044"/>
      <c r="F83" s="1044"/>
      <c r="G83" s="1044"/>
      <c r="H83" s="1044"/>
      <c r="I83" s="1044"/>
      <c r="J83" s="1044"/>
      <c r="K83" s="660"/>
      <c r="L83" s="660"/>
      <c r="M83" s="660"/>
      <c r="N83" s="660"/>
      <c r="O83" s="972"/>
      <c r="P83" s="972"/>
      <c r="Q83" s="660"/>
      <c r="R83" s="660"/>
      <c r="S83" s="660"/>
      <c r="T83" s="660"/>
      <c r="U83" s="660"/>
      <c r="V83" s="660"/>
      <c r="W83" s="660"/>
      <c r="X83" s="660"/>
      <c r="Y83" s="660"/>
      <c r="BB83" s="1040" t="s">
        <v>247</v>
      </c>
      <c r="BC83" s="1040"/>
      <c r="BD83" s="1040"/>
      <c r="BE83" s="1040"/>
      <c r="BF83" s="1040"/>
      <c r="BG83" s="1040"/>
      <c r="BH83" s="1040"/>
      <c r="BI83" s="1040"/>
      <c r="BL83" s="663"/>
      <c r="BM83" s="663"/>
      <c r="BN83" s="978"/>
      <c r="BO83" s="972"/>
      <c r="BP83" s="660"/>
    </row>
    <row r="84" spans="1:68" s="968" customFormat="1" ht="12.75" customHeight="1">
      <c r="A84" s="687" t="s">
        <v>22</v>
      </c>
      <c r="B84" s="687" t="s">
        <v>22</v>
      </c>
      <c r="C84" s="1044" t="s">
        <v>662</v>
      </c>
      <c r="D84" s="1044"/>
      <c r="E84" s="1044"/>
      <c r="F84" s="1044"/>
      <c r="G84" s="1044"/>
      <c r="H84" s="1044"/>
      <c r="I84" s="1044"/>
      <c r="J84" s="1044"/>
      <c r="K84" s="660"/>
      <c r="L84" s="660"/>
      <c r="M84" s="660"/>
      <c r="N84" s="660"/>
      <c r="O84" s="972"/>
      <c r="P84" s="972"/>
      <c r="Q84" s="660"/>
      <c r="R84" s="660"/>
      <c r="S84" s="660"/>
      <c r="T84" s="660"/>
      <c r="U84" s="660"/>
      <c r="V84" s="660"/>
      <c r="W84" s="660"/>
      <c r="X84" s="660"/>
      <c r="Y84" s="660"/>
      <c r="Z84" s="659"/>
      <c r="AA84" s="659"/>
      <c r="AB84" s="659"/>
      <c r="AC84" s="659"/>
      <c r="AD84" s="659"/>
      <c r="AE84" s="659"/>
      <c r="AF84" s="659"/>
      <c r="AG84" s="659"/>
      <c r="AH84" s="659"/>
      <c r="AI84" s="659"/>
      <c r="AJ84" s="659"/>
      <c r="AK84" s="659"/>
      <c r="AL84" s="659"/>
      <c r="AM84" s="659"/>
      <c r="AN84" s="659"/>
      <c r="AO84" s="659"/>
      <c r="AP84" s="659"/>
      <c r="AQ84" s="659"/>
      <c r="AR84" s="659"/>
      <c r="AS84" s="659"/>
      <c r="AT84" s="659"/>
      <c r="AU84" s="659"/>
      <c r="AV84" s="659"/>
      <c r="AW84" s="659"/>
      <c r="AX84" s="659"/>
      <c r="AY84" s="659"/>
      <c r="AZ84" s="659"/>
      <c r="BB84" s="1040" t="s">
        <v>250</v>
      </c>
      <c r="BC84" s="1040"/>
      <c r="BD84" s="1040"/>
      <c r="BE84" s="1040"/>
      <c r="BF84" s="1040"/>
      <c r="BG84" s="1040"/>
      <c r="BH84" s="1040"/>
      <c r="BI84" s="1040"/>
      <c r="BJ84" s="659"/>
      <c r="BK84" s="659"/>
      <c r="BL84" s="663"/>
      <c r="BM84" s="663"/>
      <c r="BN84" s="980"/>
      <c r="BO84" s="986"/>
      <c r="BP84" s="979"/>
    </row>
    <row r="85" spans="1:68" ht="12.75" customHeight="1">
      <c r="A85" s="687" t="s">
        <v>22</v>
      </c>
      <c r="B85" s="687" t="s">
        <v>22</v>
      </c>
      <c r="C85" s="1044" t="s">
        <v>660</v>
      </c>
      <c r="D85" s="1044"/>
      <c r="E85" s="1044"/>
      <c r="F85" s="1044"/>
      <c r="G85" s="1044"/>
      <c r="H85" s="1044"/>
      <c r="I85" s="1044"/>
      <c r="J85" s="1044"/>
      <c r="K85" s="660"/>
      <c r="L85" s="660"/>
      <c r="M85" s="660"/>
      <c r="N85" s="660"/>
      <c r="O85" s="972"/>
      <c r="P85" s="972"/>
      <c r="Q85" s="660"/>
      <c r="R85" s="660"/>
      <c r="S85" s="660"/>
      <c r="T85" s="660"/>
      <c r="U85" s="660"/>
      <c r="V85" s="660"/>
      <c r="W85" s="660"/>
      <c r="X85" s="660"/>
      <c r="Y85" s="660"/>
      <c r="BB85" s="1040" t="s">
        <v>251</v>
      </c>
      <c r="BC85" s="1040"/>
      <c r="BD85" s="1040"/>
      <c r="BE85" s="1040"/>
      <c r="BF85" s="1040"/>
      <c r="BG85" s="1040"/>
      <c r="BH85" s="1040"/>
      <c r="BI85" s="1040"/>
      <c r="BL85" s="663"/>
      <c r="BM85" s="663"/>
      <c r="BN85" s="988"/>
      <c r="BO85" s="972"/>
      <c r="BP85" s="990"/>
    </row>
    <row r="86" spans="1:68" ht="12.75" customHeight="1">
      <c r="A86" s="687" t="s">
        <v>22</v>
      </c>
      <c r="B86" s="687" t="s">
        <v>22</v>
      </c>
      <c r="C86" s="1044" t="s">
        <v>232</v>
      </c>
      <c r="D86" s="1044"/>
      <c r="E86" s="1044"/>
      <c r="F86" s="1044"/>
      <c r="G86" s="1044"/>
      <c r="H86" s="1044"/>
      <c r="I86" s="1044"/>
      <c r="J86" s="1044"/>
      <c r="K86" s="660"/>
      <c r="L86" s="660"/>
      <c r="M86" s="660"/>
      <c r="N86" s="660"/>
      <c r="O86" s="972"/>
      <c r="P86" s="972"/>
      <c r="Q86" s="660"/>
      <c r="R86" s="660"/>
      <c r="S86" s="660"/>
      <c r="T86" s="660"/>
      <c r="U86" s="660"/>
      <c r="V86" s="660"/>
      <c r="W86" s="660"/>
      <c r="X86" s="660"/>
      <c r="Y86" s="660"/>
      <c r="BB86" s="1040" t="s">
        <v>253</v>
      </c>
      <c r="BC86" s="1040"/>
      <c r="BD86" s="1040"/>
      <c r="BE86" s="1040"/>
      <c r="BF86" s="1040"/>
      <c r="BG86" s="1040"/>
      <c r="BH86" s="1040"/>
      <c r="BI86" s="1040"/>
      <c r="BL86" s="663"/>
      <c r="BM86" s="663"/>
      <c r="BN86" s="988"/>
      <c r="BO86" s="989"/>
      <c r="BP86" s="990"/>
    </row>
    <row r="87" spans="1:68" ht="12.75" customHeight="1">
      <c r="A87" s="687" t="s">
        <v>22</v>
      </c>
      <c r="B87" s="687" t="s">
        <v>22</v>
      </c>
      <c r="C87" s="1044" t="s">
        <v>172</v>
      </c>
      <c r="D87" s="1044"/>
      <c r="E87" s="1044"/>
      <c r="F87" s="1044"/>
      <c r="G87" s="1044"/>
      <c r="H87" s="1044"/>
      <c r="I87" s="1044"/>
      <c r="J87" s="1044"/>
      <c r="K87" s="660"/>
      <c r="L87" s="660"/>
      <c r="M87" s="660"/>
      <c r="N87" s="660"/>
      <c r="O87" s="972"/>
      <c r="P87" s="972"/>
      <c r="Q87" s="660"/>
      <c r="R87" s="660"/>
      <c r="S87" s="660"/>
      <c r="T87" s="660"/>
      <c r="U87" s="660"/>
      <c r="V87" s="660"/>
      <c r="W87" s="660"/>
      <c r="X87" s="660"/>
      <c r="Y87" s="660"/>
      <c r="BB87" s="1040" t="s">
        <v>264</v>
      </c>
      <c r="BC87" s="1040"/>
      <c r="BD87" s="1040"/>
      <c r="BE87" s="1040"/>
      <c r="BF87" s="1040"/>
      <c r="BG87" s="1040"/>
      <c r="BH87" s="1040"/>
      <c r="BI87" s="1040"/>
      <c r="BL87" s="663"/>
      <c r="BM87" s="663"/>
      <c r="BN87" s="988"/>
      <c r="BO87" s="989"/>
      <c r="BP87" s="990"/>
    </row>
    <row r="88" spans="1:68" ht="12.75" customHeight="1">
      <c r="A88" s="687" t="s">
        <v>22</v>
      </c>
      <c r="B88" s="687" t="s">
        <v>22</v>
      </c>
      <c r="I88" s="977"/>
      <c r="K88" s="660"/>
      <c r="L88" s="660"/>
      <c r="M88" s="660"/>
      <c r="N88" s="660"/>
      <c r="O88" s="972"/>
      <c r="P88" s="972"/>
      <c r="Q88" s="660"/>
      <c r="R88" s="660"/>
      <c r="S88" s="660"/>
      <c r="T88" s="660"/>
      <c r="U88" s="660"/>
      <c r="V88" s="660"/>
      <c r="W88" s="660"/>
      <c r="X88" s="660"/>
      <c r="Y88" s="660"/>
      <c r="BB88" s="1040" t="s">
        <v>265</v>
      </c>
      <c r="BC88" s="1040"/>
      <c r="BD88" s="1040"/>
      <c r="BE88" s="1040"/>
      <c r="BF88" s="1040"/>
      <c r="BG88" s="1040"/>
      <c r="BH88" s="1040"/>
      <c r="BI88" s="1040"/>
      <c r="BL88" s="663"/>
      <c r="BM88" s="663"/>
      <c r="BN88" s="988"/>
      <c r="BO88" s="989"/>
      <c r="BP88" s="990"/>
    </row>
    <row r="89" spans="1:68" ht="12.75" customHeight="1">
      <c r="A89" s="687"/>
      <c r="B89" s="687" t="s">
        <v>22</v>
      </c>
      <c r="C89" s="1048" t="s">
        <v>671</v>
      </c>
      <c r="D89" s="1048"/>
      <c r="E89" s="1048"/>
      <c r="F89" s="1048"/>
      <c r="G89" s="1048"/>
      <c r="H89" s="1048"/>
      <c r="I89" s="1048"/>
      <c r="J89" s="1048"/>
      <c r="K89" s="1048" t="s">
        <v>669</v>
      </c>
      <c r="L89" s="1048"/>
      <c r="M89" s="1048"/>
      <c r="N89" s="1048" t="s">
        <v>100</v>
      </c>
      <c r="O89" s="1048"/>
      <c r="P89" s="1048"/>
      <c r="Q89" s="1048"/>
      <c r="R89" s="1049" t="s">
        <v>646</v>
      </c>
      <c r="S89" s="1049"/>
      <c r="T89" s="1049"/>
      <c r="U89" s="1049"/>
      <c r="V89" s="1043" t="s">
        <v>109</v>
      </c>
      <c r="W89" s="1043"/>
      <c r="X89" s="1043"/>
      <c r="Y89" s="1043"/>
      <c r="Z89" s="1043" t="s">
        <v>654</v>
      </c>
      <c r="AA89" s="1043"/>
      <c r="AB89" s="1043"/>
      <c r="AC89" s="1043"/>
      <c r="AD89" s="1043" t="s">
        <v>680</v>
      </c>
      <c r="AE89" s="1043"/>
      <c r="AF89" s="1043"/>
      <c r="AG89" s="1043"/>
      <c r="AH89" s="1043" t="s">
        <v>681</v>
      </c>
      <c r="AI89" s="1043"/>
      <c r="AJ89" s="1043"/>
      <c r="AK89" s="1043"/>
      <c r="AL89" s="1043" t="s">
        <v>682</v>
      </c>
      <c r="AM89" s="1043"/>
      <c r="AN89" s="1043"/>
      <c r="AO89" s="1043"/>
      <c r="BB89" s="976"/>
      <c r="BC89" s="660"/>
      <c r="BD89" s="976"/>
      <c r="BE89" s="976"/>
      <c r="BF89" s="976"/>
      <c r="BG89" s="976"/>
      <c r="BH89" s="1000"/>
      <c r="BI89" s="1001"/>
      <c r="BJ89" s="1001"/>
      <c r="BK89" s="1001"/>
      <c r="BL89" s="1001"/>
      <c r="BM89" s="660"/>
      <c r="BN89" s="1002"/>
      <c r="BO89" s="1002"/>
      <c r="BP89" s="990"/>
    </row>
    <row r="90" spans="1:68" ht="12.75" customHeight="1">
      <c r="A90" s="687"/>
      <c r="B90" s="687" t="s">
        <v>22</v>
      </c>
      <c r="C90" s="1035" t="s">
        <v>278</v>
      </c>
      <c r="D90" s="1035"/>
      <c r="E90" s="1035"/>
      <c r="F90" s="1035"/>
      <c r="G90" s="1035"/>
      <c r="H90" s="1035"/>
      <c r="I90" s="1035"/>
      <c r="J90" s="1035"/>
      <c r="K90" s="1030">
        <v>1</v>
      </c>
      <c r="L90" s="1030"/>
      <c r="M90" s="1030"/>
      <c r="N90" s="1036">
        <v>110</v>
      </c>
      <c r="O90" s="1036"/>
      <c r="P90" s="1036"/>
      <c r="Q90" s="1036"/>
      <c r="R90" s="1037">
        <f>K90*N90</f>
        <v>110</v>
      </c>
      <c r="S90" s="1038"/>
      <c r="T90" s="1038"/>
      <c r="U90" s="1038"/>
      <c r="V90" s="1039">
        <f>R90/$AW$24</f>
        <v>8.4615384615384617</v>
      </c>
      <c r="W90" s="1038"/>
      <c r="X90" s="1038"/>
      <c r="Y90" s="1038"/>
      <c r="Z90" s="1028">
        <f>IF($AW$26=0,0,IF(B90="x",R90/$AW$26,0))*($AW$27/100)</f>
        <v>9.1666666666666661</v>
      </c>
      <c r="AA90" s="1028"/>
      <c r="AB90" s="1028"/>
      <c r="AC90" s="1028"/>
      <c r="BB90" s="976"/>
      <c r="BC90" s="660"/>
      <c r="BD90" s="976"/>
      <c r="BE90" s="976"/>
      <c r="BF90" s="976"/>
      <c r="BG90" s="976"/>
      <c r="BH90" s="660"/>
      <c r="BI90" s="967"/>
      <c r="BJ90" s="991"/>
      <c r="BK90" s="987"/>
      <c r="BL90" s="987"/>
      <c r="BM90" s="660"/>
      <c r="BN90" s="988"/>
      <c r="BO90" s="989"/>
      <c r="BP90" s="990"/>
    </row>
    <row r="91" spans="1:68" ht="12.75" customHeight="1">
      <c r="A91" s="687"/>
      <c r="B91" s="687" t="s">
        <v>22</v>
      </c>
      <c r="C91" s="1035" t="s">
        <v>272</v>
      </c>
      <c r="D91" s="1035"/>
      <c r="E91" s="1035"/>
      <c r="F91" s="1035"/>
      <c r="G91" s="1035"/>
      <c r="H91" s="1035"/>
      <c r="I91" s="1035"/>
      <c r="J91" s="1035"/>
      <c r="K91" s="1030">
        <v>4</v>
      </c>
      <c r="L91" s="1030"/>
      <c r="M91" s="1030"/>
      <c r="N91" s="1036">
        <v>110</v>
      </c>
      <c r="O91" s="1036"/>
      <c r="P91" s="1036"/>
      <c r="Q91" s="1036"/>
      <c r="R91" s="1037">
        <f t="shared" ref="R91:R103" si="2">K91*N91</f>
        <v>440</v>
      </c>
      <c r="S91" s="1038"/>
      <c r="T91" s="1038"/>
      <c r="U91" s="1038"/>
      <c r="V91" s="660"/>
      <c r="W91" s="660"/>
      <c r="X91" s="660"/>
      <c r="Y91" s="660"/>
      <c r="Z91" s="660"/>
      <c r="AA91" s="660"/>
      <c r="AB91" s="660"/>
      <c r="AC91" s="660"/>
      <c r="AD91" s="660"/>
      <c r="AE91" s="660"/>
      <c r="AF91" s="660"/>
      <c r="BB91" s="976"/>
      <c r="BC91" s="660"/>
      <c r="BD91" s="976"/>
      <c r="BE91" s="976"/>
      <c r="BF91" s="976"/>
      <c r="BG91" s="976"/>
      <c r="BH91" s="660"/>
      <c r="BI91" s="967"/>
      <c r="BJ91" s="991"/>
      <c r="BK91" s="987"/>
      <c r="BL91" s="987"/>
      <c r="BM91" s="660"/>
      <c r="BN91" s="988"/>
      <c r="BO91" s="989"/>
      <c r="BP91" s="990"/>
    </row>
    <row r="92" spans="1:68" ht="12.75" customHeight="1">
      <c r="A92" s="687"/>
      <c r="B92" s="687" t="s">
        <v>22</v>
      </c>
      <c r="C92" s="1035" t="s">
        <v>273</v>
      </c>
      <c r="D92" s="1035"/>
      <c r="E92" s="1035"/>
      <c r="F92" s="1035"/>
      <c r="G92" s="1035"/>
      <c r="H92" s="1035"/>
      <c r="I92" s="1035"/>
      <c r="J92" s="1035"/>
      <c r="K92" s="1030">
        <v>4</v>
      </c>
      <c r="L92" s="1030"/>
      <c r="M92" s="1030"/>
      <c r="N92" s="1036">
        <v>110</v>
      </c>
      <c r="O92" s="1036"/>
      <c r="P92" s="1036"/>
      <c r="Q92" s="1036"/>
      <c r="R92" s="1037">
        <f t="shared" si="2"/>
        <v>440</v>
      </c>
      <c r="S92" s="1038"/>
      <c r="T92" s="1038"/>
      <c r="U92" s="1038"/>
      <c r="V92" s="660"/>
      <c r="W92" s="660"/>
      <c r="X92" s="660"/>
      <c r="Y92" s="660"/>
      <c r="Z92" s="660"/>
      <c r="AA92" s="660"/>
      <c r="AB92" s="660"/>
      <c r="AC92" s="660"/>
      <c r="AD92" s="660"/>
      <c r="AE92" s="660"/>
      <c r="AF92" s="660"/>
      <c r="BB92" s="976"/>
      <c r="BC92" s="660"/>
      <c r="BD92" s="976"/>
      <c r="BE92" s="976"/>
      <c r="BF92" s="976"/>
      <c r="BG92" s="976"/>
      <c r="BH92" s="660"/>
      <c r="BI92" s="967"/>
      <c r="BJ92" s="991"/>
      <c r="BK92" s="987"/>
      <c r="BL92" s="987"/>
      <c r="BM92" s="660"/>
      <c r="BN92" s="988"/>
      <c r="BO92" s="989"/>
      <c r="BP92" s="990"/>
    </row>
    <row r="93" spans="1:68" ht="12.75" customHeight="1">
      <c r="A93" s="687"/>
      <c r="B93" s="687" t="s">
        <v>22</v>
      </c>
      <c r="C93" s="1035" t="s">
        <v>672</v>
      </c>
      <c r="D93" s="1035"/>
      <c r="E93" s="1035" t="s">
        <v>672</v>
      </c>
      <c r="F93" s="1035"/>
      <c r="G93" s="1035" t="s">
        <v>672</v>
      </c>
      <c r="H93" s="1035"/>
      <c r="I93" s="1035" t="s">
        <v>672</v>
      </c>
      <c r="J93" s="1035"/>
      <c r="K93" s="1030">
        <v>1</v>
      </c>
      <c r="L93" s="1030"/>
      <c r="M93" s="1030"/>
      <c r="N93" s="1036">
        <v>175</v>
      </c>
      <c r="O93" s="1036"/>
      <c r="P93" s="1036"/>
      <c r="Q93" s="1036"/>
      <c r="R93" s="1037">
        <f t="shared" si="2"/>
        <v>175</v>
      </c>
      <c r="S93" s="1038"/>
      <c r="T93" s="1038"/>
      <c r="U93" s="1038"/>
      <c r="V93" s="660"/>
      <c r="W93" s="660"/>
      <c r="X93" s="660"/>
      <c r="Y93" s="660"/>
      <c r="Z93" s="660"/>
      <c r="AA93" s="660"/>
      <c r="AB93" s="660"/>
      <c r="AC93" s="660"/>
      <c r="AD93" s="660"/>
      <c r="AE93" s="660"/>
      <c r="AF93" s="660"/>
      <c r="BB93" s="976"/>
      <c r="BC93" s="660"/>
      <c r="BD93" s="976"/>
      <c r="BE93" s="976"/>
      <c r="BF93" s="976"/>
      <c r="BG93" s="976"/>
      <c r="BH93" s="660"/>
      <c r="BI93" s="967"/>
      <c r="BJ93" s="991"/>
      <c r="BK93" s="987"/>
      <c r="BL93" s="987"/>
      <c r="BM93" s="660"/>
      <c r="BN93" s="988"/>
      <c r="BO93" s="989"/>
      <c r="BP93" s="990"/>
    </row>
    <row r="94" spans="1:68" ht="12.75" customHeight="1">
      <c r="A94" s="687"/>
      <c r="B94" s="687" t="s">
        <v>22</v>
      </c>
      <c r="C94" s="1035" t="s">
        <v>314</v>
      </c>
      <c r="D94" s="1035"/>
      <c r="E94" s="1035" t="s">
        <v>314</v>
      </c>
      <c r="F94" s="1035"/>
      <c r="G94" s="1035" t="s">
        <v>314</v>
      </c>
      <c r="H94" s="1035"/>
      <c r="I94" s="1035" t="s">
        <v>314</v>
      </c>
      <c r="J94" s="1035"/>
      <c r="K94" s="1030">
        <v>0</v>
      </c>
      <c r="L94" s="1030"/>
      <c r="M94" s="1030"/>
      <c r="N94" s="1036">
        <v>175</v>
      </c>
      <c r="O94" s="1036"/>
      <c r="P94" s="1036"/>
      <c r="Q94" s="1036"/>
      <c r="R94" s="1037">
        <f t="shared" si="2"/>
        <v>0</v>
      </c>
      <c r="S94" s="1038"/>
      <c r="T94" s="1038"/>
      <c r="U94" s="1038"/>
      <c r="V94" s="660"/>
      <c r="W94" s="660"/>
      <c r="X94" s="660"/>
      <c r="Y94" s="660"/>
      <c r="Z94" s="660"/>
      <c r="AA94" s="660"/>
      <c r="AB94" s="660"/>
      <c r="AC94" s="660"/>
      <c r="AD94" s="660"/>
      <c r="AE94" s="660"/>
      <c r="AF94" s="660"/>
      <c r="BB94" s="976"/>
      <c r="BC94" s="660"/>
      <c r="BD94" s="976"/>
      <c r="BE94" s="976"/>
      <c r="BF94" s="976"/>
      <c r="BG94" s="976"/>
      <c r="BH94" s="660"/>
      <c r="BI94" s="967"/>
      <c r="BJ94" s="991"/>
      <c r="BK94" s="987"/>
      <c r="BL94" s="987"/>
      <c r="BM94" s="660"/>
      <c r="BN94" s="988"/>
      <c r="BO94" s="989"/>
      <c r="BP94" s="990"/>
    </row>
    <row r="95" spans="1:68" ht="12.75" customHeight="1">
      <c r="A95" s="687"/>
      <c r="B95" s="687" t="s">
        <v>22</v>
      </c>
      <c r="C95" s="1035" t="s">
        <v>178</v>
      </c>
      <c r="D95" s="1035"/>
      <c r="E95" s="1035" t="s">
        <v>178</v>
      </c>
      <c r="F95" s="1035"/>
      <c r="G95" s="1035" t="s">
        <v>178</v>
      </c>
      <c r="H95" s="1035"/>
      <c r="I95" s="1035" t="s">
        <v>178</v>
      </c>
      <c r="J95" s="1035"/>
      <c r="K95" s="1030">
        <v>1</v>
      </c>
      <c r="L95" s="1030"/>
      <c r="M95" s="1030"/>
      <c r="N95" s="1036">
        <v>175</v>
      </c>
      <c r="O95" s="1036"/>
      <c r="P95" s="1036"/>
      <c r="Q95" s="1036"/>
      <c r="R95" s="1037">
        <f t="shared" si="2"/>
        <v>175</v>
      </c>
      <c r="S95" s="1038"/>
      <c r="T95" s="1038"/>
      <c r="U95" s="1038"/>
      <c r="V95" s="660"/>
      <c r="W95" s="660"/>
      <c r="X95" s="660"/>
      <c r="Y95" s="660"/>
      <c r="Z95" s="660"/>
      <c r="AA95" s="660"/>
      <c r="AB95" s="660"/>
      <c r="AC95" s="660"/>
      <c r="AD95" s="660"/>
      <c r="AE95" s="660"/>
      <c r="AF95" s="660"/>
      <c r="AY95" s="660"/>
      <c r="BB95" s="976"/>
      <c r="BC95" s="660"/>
      <c r="BD95" s="976"/>
      <c r="BE95" s="976"/>
      <c r="BF95" s="976"/>
      <c r="BG95" s="976"/>
      <c r="BH95" s="660"/>
      <c r="BI95" s="967"/>
      <c r="BJ95" s="991"/>
      <c r="BK95" s="987"/>
      <c r="BL95" s="987"/>
      <c r="BM95" s="660"/>
      <c r="BN95" s="988"/>
      <c r="BO95" s="989"/>
      <c r="BP95" s="990"/>
    </row>
    <row r="96" spans="1:68" ht="12.75" customHeight="1">
      <c r="A96" s="687"/>
      <c r="B96" s="687" t="s">
        <v>22</v>
      </c>
      <c r="C96" s="1035" t="s">
        <v>280</v>
      </c>
      <c r="D96" s="1035"/>
      <c r="E96" s="1035" t="s">
        <v>280</v>
      </c>
      <c r="F96" s="1035"/>
      <c r="G96" s="1035" t="s">
        <v>280</v>
      </c>
      <c r="H96" s="1035"/>
      <c r="I96" s="1035" t="s">
        <v>280</v>
      </c>
      <c r="J96" s="1035"/>
      <c r="K96" s="1030">
        <v>1</v>
      </c>
      <c r="L96" s="1030"/>
      <c r="M96" s="1030"/>
      <c r="N96" s="1036">
        <v>250</v>
      </c>
      <c r="O96" s="1036"/>
      <c r="P96" s="1036"/>
      <c r="Q96" s="1036"/>
      <c r="R96" s="1037">
        <f t="shared" si="2"/>
        <v>250</v>
      </c>
      <c r="S96" s="1038"/>
      <c r="T96" s="1038"/>
      <c r="U96" s="1038"/>
      <c r="V96" s="660"/>
      <c r="W96" s="660"/>
      <c r="X96" s="660"/>
      <c r="Y96" s="660"/>
      <c r="AD96" s="660"/>
      <c r="AE96" s="660"/>
      <c r="AF96" s="660"/>
      <c r="AY96" s="660"/>
      <c r="AZ96" s="660"/>
      <c r="BA96" s="660"/>
      <c r="BB96" s="976"/>
      <c r="BC96" s="660"/>
      <c r="BD96" s="976"/>
      <c r="BE96" s="976"/>
      <c r="BF96" s="976"/>
      <c r="BG96" s="976"/>
      <c r="BH96" s="672"/>
      <c r="BI96" s="967"/>
      <c r="BJ96" s="991"/>
      <c r="BK96" s="987"/>
      <c r="BL96" s="987"/>
      <c r="BM96" s="660"/>
      <c r="BN96" s="988"/>
      <c r="BO96" s="989"/>
      <c r="BP96" s="990"/>
    </row>
    <row r="97" spans="1:68" ht="12.75" customHeight="1">
      <c r="C97" s="1035" t="s">
        <v>281</v>
      </c>
      <c r="D97" s="1035"/>
      <c r="E97" s="1035" t="s">
        <v>281</v>
      </c>
      <c r="F97" s="1035"/>
      <c r="G97" s="1035" t="s">
        <v>281</v>
      </c>
      <c r="H97" s="1035"/>
      <c r="I97" s="1035" t="s">
        <v>281</v>
      </c>
      <c r="J97" s="1035"/>
      <c r="K97" s="1030">
        <v>1</v>
      </c>
      <c r="L97" s="1030"/>
      <c r="M97" s="1030"/>
      <c r="N97" s="1036">
        <v>300</v>
      </c>
      <c r="O97" s="1036"/>
      <c r="P97" s="1036"/>
      <c r="Q97" s="1036"/>
      <c r="R97" s="1037">
        <f t="shared" si="2"/>
        <v>300</v>
      </c>
      <c r="S97" s="1038"/>
      <c r="T97" s="1038"/>
      <c r="U97" s="1038"/>
      <c r="AE97" s="735"/>
      <c r="AF97" s="735"/>
      <c r="AY97" s="660"/>
      <c r="AZ97" s="660"/>
      <c r="BA97" s="660"/>
      <c r="BB97" s="976"/>
      <c r="BC97" s="660"/>
      <c r="BD97" s="976"/>
      <c r="BE97" s="976"/>
      <c r="BF97" s="976"/>
      <c r="BG97" s="976"/>
      <c r="BH97" s="672"/>
      <c r="BI97" s="967"/>
      <c r="BJ97" s="991"/>
      <c r="BK97" s="987"/>
      <c r="BL97" s="987"/>
      <c r="BM97" s="660"/>
      <c r="BN97" s="988"/>
      <c r="BO97" s="989"/>
      <c r="BP97" s="990"/>
    </row>
    <row r="98" spans="1:68" ht="12.75" customHeight="1">
      <c r="C98" s="1035" t="s">
        <v>274</v>
      </c>
      <c r="D98" s="1035"/>
      <c r="E98" s="1035" t="s">
        <v>274</v>
      </c>
      <c r="F98" s="1035"/>
      <c r="G98" s="1035" t="s">
        <v>274</v>
      </c>
      <c r="H98" s="1035"/>
      <c r="I98" s="1035" t="s">
        <v>274</v>
      </c>
      <c r="J98" s="1035"/>
      <c r="K98" s="1030">
        <v>10</v>
      </c>
      <c r="L98" s="1030"/>
      <c r="M98" s="1030"/>
      <c r="N98" s="1036">
        <v>1000</v>
      </c>
      <c r="O98" s="1036"/>
      <c r="P98" s="1036"/>
      <c r="Q98" s="1036"/>
      <c r="R98" s="1037">
        <f t="shared" si="2"/>
        <v>10000</v>
      </c>
      <c r="S98" s="1038"/>
      <c r="T98" s="1038"/>
      <c r="U98" s="1038"/>
      <c r="AY98" s="660"/>
      <c r="AZ98" s="660"/>
      <c r="BA98" s="660"/>
      <c r="BB98" s="976"/>
      <c r="BC98" s="660"/>
      <c r="BD98" s="976"/>
      <c r="BE98" s="976"/>
      <c r="BF98" s="976"/>
      <c r="BG98" s="976"/>
      <c r="BH98" s="672"/>
      <c r="BI98" s="967"/>
      <c r="BJ98" s="991"/>
      <c r="BK98" s="987"/>
      <c r="BL98" s="987"/>
      <c r="BM98" s="660"/>
      <c r="BN98" s="988"/>
      <c r="BO98" s="989"/>
      <c r="BP98" s="990"/>
    </row>
    <row r="99" spans="1:68" ht="12.75" customHeight="1">
      <c r="C99" s="1035" t="s">
        <v>275</v>
      </c>
      <c r="D99" s="1035"/>
      <c r="E99" s="1035" t="s">
        <v>275</v>
      </c>
      <c r="F99" s="1035"/>
      <c r="G99" s="1035" t="s">
        <v>275</v>
      </c>
      <c r="H99" s="1035"/>
      <c r="I99" s="1035" t="s">
        <v>275</v>
      </c>
      <c r="J99" s="1035"/>
      <c r="K99" s="1030">
        <v>0</v>
      </c>
      <c r="L99" s="1030"/>
      <c r="M99" s="1030"/>
      <c r="N99" s="1036">
        <v>1000</v>
      </c>
      <c r="O99" s="1036"/>
      <c r="P99" s="1036"/>
      <c r="Q99" s="1036"/>
      <c r="R99" s="1037">
        <f t="shared" si="2"/>
        <v>0</v>
      </c>
      <c r="S99" s="1038"/>
      <c r="T99" s="1038"/>
      <c r="U99" s="1038"/>
      <c r="AD99" s="663"/>
      <c r="AE99" s="663"/>
      <c r="AF99" s="663"/>
      <c r="AY99" s="660"/>
      <c r="AZ99" s="660"/>
      <c r="BA99" s="660"/>
      <c r="BB99" s="976"/>
      <c r="BC99" s="660"/>
      <c r="BD99" s="976"/>
      <c r="BE99" s="976"/>
      <c r="BF99" s="976"/>
      <c r="BG99" s="976"/>
      <c r="BH99" s="672"/>
      <c r="BI99" s="967"/>
      <c r="BJ99" s="991"/>
      <c r="BK99" s="987"/>
      <c r="BL99" s="987"/>
      <c r="BM99" s="660"/>
      <c r="BN99" s="988"/>
      <c r="BO99" s="989"/>
      <c r="BP99" s="990"/>
    </row>
    <row r="100" spans="1:68" ht="12.75" customHeight="1">
      <c r="A100" s="968"/>
      <c r="B100" s="968"/>
      <c r="C100" s="1035" t="s">
        <v>276</v>
      </c>
      <c r="D100" s="1035"/>
      <c r="E100" s="1035" t="s">
        <v>276</v>
      </c>
      <c r="F100" s="1035"/>
      <c r="G100" s="1035" t="s">
        <v>276</v>
      </c>
      <c r="H100" s="1035"/>
      <c r="I100" s="1035" t="s">
        <v>276</v>
      </c>
      <c r="J100" s="1035"/>
      <c r="K100" s="1030">
        <v>0</v>
      </c>
      <c r="L100" s="1030"/>
      <c r="M100" s="1030"/>
      <c r="N100" s="1036">
        <v>1000</v>
      </c>
      <c r="O100" s="1036"/>
      <c r="P100" s="1036"/>
      <c r="Q100" s="1036"/>
      <c r="R100" s="1037">
        <f t="shared" si="2"/>
        <v>0</v>
      </c>
      <c r="S100" s="1038"/>
      <c r="T100" s="1038"/>
      <c r="U100" s="1038"/>
      <c r="V100" s="968"/>
      <c r="W100" s="968"/>
      <c r="X100" s="968"/>
      <c r="Y100" s="968"/>
      <c r="Z100" s="968"/>
      <c r="AA100" s="968"/>
      <c r="AB100" s="968"/>
      <c r="AC100" s="968"/>
      <c r="AD100" s="663"/>
      <c r="AE100" s="663"/>
      <c r="AF100" s="663"/>
      <c r="AV100" s="663"/>
      <c r="AW100" s="663"/>
      <c r="AX100" s="663"/>
      <c r="AY100" s="663"/>
      <c r="AZ100" s="660"/>
      <c r="BA100" s="660"/>
      <c r="BB100" s="976"/>
      <c r="BC100" s="660"/>
      <c r="BD100" s="976"/>
      <c r="BE100" s="976"/>
      <c r="BF100" s="976"/>
      <c r="BG100" s="976"/>
      <c r="BH100" s="672"/>
      <c r="BI100" s="967"/>
      <c r="BJ100" s="991"/>
      <c r="BK100" s="987"/>
      <c r="BL100" s="987"/>
      <c r="BM100" s="660"/>
      <c r="BN100" s="988"/>
      <c r="BO100" s="989"/>
      <c r="BP100" s="990"/>
    </row>
    <row r="101" spans="1:68" ht="12.75" customHeight="1">
      <c r="A101" s="968"/>
      <c r="B101" s="968"/>
      <c r="C101" s="1035" t="s">
        <v>277</v>
      </c>
      <c r="D101" s="1035"/>
      <c r="E101" s="1035" t="s">
        <v>277</v>
      </c>
      <c r="F101" s="1035"/>
      <c r="G101" s="1035" t="s">
        <v>277</v>
      </c>
      <c r="H101" s="1035"/>
      <c r="I101" s="1035" t="s">
        <v>277</v>
      </c>
      <c r="J101" s="1035"/>
      <c r="K101" s="1030">
        <v>0</v>
      </c>
      <c r="L101" s="1030"/>
      <c r="M101" s="1030"/>
      <c r="N101" s="1036">
        <v>1000</v>
      </c>
      <c r="O101" s="1036"/>
      <c r="P101" s="1036"/>
      <c r="Q101" s="1036"/>
      <c r="R101" s="1037">
        <f t="shared" si="2"/>
        <v>0</v>
      </c>
      <c r="S101" s="1038"/>
      <c r="T101" s="1038"/>
      <c r="U101" s="1038"/>
      <c r="V101" s="968"/>
      <c r="W101" s="968"/>
      <c r="X101" s="968"/>
      <c r="Y101" s="968"/>
      <c r="Z101" s="968"/>
      <c r="AA101" s="968"/>
      <c r="AB101" s="968"/>
      <c r="AC101" s="968"/>
      <c r="AD101" s="723"/>
      <c r="AE101" s="723"/>
      <c r="AF101" s="723"/>
      <c r="AZ101" s="660"/>
      <c r="BA101" s="660"/>
      <c r="BB101" s="976"/>
      <c r="BC101" s="660"/>
      <c r="BD101" s="976"/>
      <c r="BE101" s="976"/>
      <c r="BF101" s="976"/>
      <c r="BG101" s="976"/>
      <c r="BH101" s="672"/>
      <c r="BI101" s="967"/>
      <c r="BJ101" s="991"/>
      <c r="BK101" s="987"/>
      <c r="BL101" s="987"/>
      <c r="BM101" s="660"/>
      <c r="BN101" s="988"/>
      <c r="BO101" s="989"/>
      <c r="BP101" s="990"/>
    </row>
    <row r="102" spans="1:68" ht="12.75" customHeight="1">
      <c r="C102" s="1035" t="s">
        <v>33</v>
      </c>
      <c r="D102" s="1035"/>
      <c r="E102" s="1035" t="s">
        <v>33</v>
      </c>
      <c r="F102" s="1035"/>
      <c r="G102" s="1035" t="s">
        <v>33</v>
      </c>
      <c r="H102" s="1035"/>
      <c r="I102" s="1035" t="s">
        <v>33</v>
      </c>
      <c r="J102" s="1035"/>
      <c r="K102" s="1030">
        <v>5</v>
      </c>
      <c r="L102" s="1030"/>
      <c r="M102" s="1030"/>
      <c r="N102" s="1036">
        <v>85</v>
      </c>
      <c r="O102" s="1036"/>
      <c r="P102" s="1036"/>
      <c r="Q102" s="1036"/>
      <c r="R102" s="1037">
        <f t="shared" si="2"/>
        <v>425</v>
      </c>
      <c r="S102" s="1038"/>
      <c r="T102" s="1038"/>
      <c r="U102" s="1038"/>
      <c r="AD102" s="723"/>
      <c r="AE102" s="723"/>
      <c r="AF102" s="723"/>
      <c r="BB102" s="976"/>
      <c r="BC102" s="660"/>
      <c r="BD102" s="976"/>
      <c r="BE102" s="976"/>
      <c r="BF102" s="976"/>
      <c r="BG102" s="976"/>
      <c r="BH102" s="672"/>
      <c r="BI102" s="967"/>
      <c r="BJ102" s="991"/>
      <c r="BK102" s="987"/>
      <c r="BL102" s="987"/>
      <c r="BM102" s="660"/>
      <c r="BN102" s="988"/>
      <c r="BO102" s="989"/>
      <c r="BP102" s="990"/>
    </row>
    <row r="103" spans="1:68" ht="12.75" customHeight="1">
      <c r="C103" s="1035" t="s">
        <v>171</v>
      </c>
      <c r="D103" s="1035"/>
      <c r="E103" s="1035" t="s">
        <v>171</v>
      </c>
      <c r="F103" s="1035"/>
      <c r="G103" s="1035" t="s">
        <v>171</v>
      </c>
      <c r="H103" s="1035"/>
      <c r="I103" s="1035" t="s">
        <v>171</v>
      </c>
      <c r="J103" s="1035"/>
      <c r="K103" s="1030">
        <v>5</v>
      </c>
      <c r="L103" s="1030"/>
      <c r="M103" s="1030"/>
      <c r="N103" s="1036">
        <v>200</v>
      </c>
      <c r="O103" s="1036"/>
      <c r="P103" s="1036"/>
      <c r="Q103" s="1036"/>
      <c r="R103" s="1037">
        <f t="shared" si="2"/>
        <v>1000</v>
      </c>
      <c r="S103" s="1038"/>
      <c r="T103" s="1038"/>
      <c r="U103" s="1038"/>
      <c r="AD103" s="663"/>
      <c r="AE103" s="663"/>
      <c r="AF103" s="663"/>
      <c r="BB103" s="976"/>
      <c r="BC103" s="660"/>
      <c r="BD103" s="976"/>
      <c r="BE103" s="976"/>
      <c r="BF103" s="976"/>
      <c r="BG103" s="976"/>
      <c r="BH103" s="672"/>
      <c r="BI103" s="971"/>
      <c r="BJ103" s="991"/>
      <c r="BK103" s="987"/>
      <c r="BL103" s="987"/>
      <c r="BM103" s="660"/>
      <c r="BN103" s="988"/>
      <c r="BO103" s="989"/>
      <c r="BP103" s="990"/>
    </row>
    <row r="104" spans="1:68" ht="12.75" customHeight="1">
      <c r="C104" s="1044" t="s">
        <v>172</v>
      </c>
      <c r="D104" s="1044"/>
      <c r="E104" s="1044"/>
      <c r="F104" s="1044"/>
      <c r="G104" s="1044"/>
      <c r="H104" s="1044"/>
      <c r="I104" s="1044"/>
      <c r="J104" s="1044"/>
      <c r="AD104" s="663"/>
      <c r="AE104" s="663"/>
      <c r="AF104" s="663"/>
      <c r="BB104" s="660"/>
      <c r="BC104" s="660"/>
      <c r="BD104" s="660"/>
      <c r="BE104" s="660"/>
      <c r="BF104" s="660"/>
      <c r="BG104" s="660"/>
      <c r="BH104" s="736"/>
      <c r="BI104" s="736"/>
      <c r="BJ104" s="736"/>
      <c r="BK104" s="736"/>
      <c r="BL104" s="992"/>
      <c r="BM104" s="992"/>
      <c r="BN104" s="993"/>
      <c r="BO104" s="994"/>
      <c r="BP104" s="660"/>
    </row>
    <row r="105" spans="1:68" ht="12.75" customHeight="1">
      <c r="AD105" s="663"/>
      <c r="AE105" s="663"/>
      <c r="AF105" s="663"/>
    </row>
    <row r="106" spans="1:68" s="968" customFormat="1" ht="12.75" customHeight="1">
      <c r="A106" s="659"/>
      <c r="B106" s="659"/>
      <c r="C106" s="1032" t="s">
        <v>673</v>
      </c>
      <c r="D106" s="1032"/>
      <c r="E106" s="1032"/>
      <c r="F106" s="1032"/>
      <c r="G106" s="1032"/>
      <c r="H106" s="1032"/>
      <c r="I106" s="1032"/>
      <c r="J106" s="1032"/>
      <c r="K106" s="1032" t="s">
        <v>669</v>
      </c>
      <c r="L106" s="1032"/>
      <c r="M106" s="1032"/>
      <c r="N106" s="1032" t="s">
        <v>100</v>
      </c>
      <c r="O106" s="1032"/>
      <c r="P106" s="1032"/>
      <c r="Q106" s="1032"/>
      <c r="R106" s="1047" t="s">
        <v>646</v>
      </c>
      <c r="S106" s="1047"/>
      <c r="T106" s="1047"/>
      <c r="U106" s="1047"/>
      <c r="V106" s="1042" t="s">
        <v>109</v>
      </c>
      <c r="W106" s="1042"/>
      <c r="X106" s="1042"/>
      <c r="Y106" s="1042"/>
      <c r="Z106" s="1042" t="s">
        <v>654</v>
      </c>
      <c r="AA106" s="1042"/>
      <c r="AB106" s="1042"/>
      <c r="AC106" s="1042"/>
      <c r="AD106" s="663"/>
      <c r="AE106" s="663"/>
      <c r="AF106" s="663"/>
      <c r="AZ106" s="659"/>
    </row>
    <row r="107" spans="1:68" s="968" customFormat="1" ht="12.75" customHeight="1">
      <c r="A107" s="659"/>
      <c r="B107" s="659"/>
      <c r="C107" s="1035" t="s">
        <v>674</v>
      </c>
      <c r="D107" s="1035"/>
      <c r="E107" s="1035"/>
      <c r="F107" s="1035"/>
      <c r="G107" s="1035"/>
      <c r="H107" s="1035"/>
      <c r="I107" s="1035"/>
      <c r="J107" s="1035"/>
      <c r="K107" s="1030">
        <v>1</v>
      </c>
      <c r="L107" s="1030"/>
      <c r="M107" s="1030"/>
      <c r="N107" s="1031">
        <v>110</v>
      </c>
      <c r="O107" s="1031"/>
      <c r="P107" s="1031"/>
      <c r="Q107" s="1031"/>
      <c r="R107" s="1037">
        <f>K107*N107</f>
        <v>110</v>
      </c>
      <c r="S107" s="1038"/>
      <c r="T107" s="1038"/>
      <c r="U107" s="1038"/>
      <c r="V107" s="1039">
        <f>R107/$AW$24</f>
        <v>8.4615384615384617</v>
      </c>
      <c r="W107" s="1038"/>
      <c r="X107" s="1038"/>
      <c r="Y107" s="1038"/>
      <c r="Z107" s="1028">
        <f>IF($AW$26=0,0,IF(B107="x",R107/$AW$26,0))*($AW$27/100)</f>
        <v>0</v>
      </c>
      <c r="AA107" s="1028"/>
      <c r="AB107" s="1028"/>
      <c r="AC107" s="1028"/>
      <c r="AD107" s="663"/>
      <c r="AE107" s="663"/>
      <c r="AF107" s="663"/>
      <c r="AZ107" s="659"/>
    </row>
    <row r="108" spans="1:68" ht="12.75" customHeight="1">
      <c r="C108" s="1035" t="s">
        <v>675</v>
      </c>
      <c r="D108" s="1035"/>
      <c r="E108" s="1035"/>
      <c r="F108" s="1035"/>
      <c r="G108" s="1035"/>
      <c r="H108" s="1035"/>
      <c r="I108" s="1035"/>
      <c r="J108" s="1035"/>
      <c r="AD108" s="663"/>
      <c r="AE108" s="663"/>
      <c r="AF108" s="663"/>
    </row>
    <row r="109" spans="1:68" ht="12.75" customHeight="1">
      <c r="C109" s="1035" t="s">
        <v>676</v>
      </c>
      <c r="D109" s="1035"/>
      <c r="E109" s="1035"/>
      <c r="F109" s="1035"/>
      <c r="G109" s="1035"/>
      <c r="H109" s="1035"/>
      <c r="I109" s="1035"/>
      <c r="J109" s="1035"/>
      <c r="AD109" s="663"/>
      <c r="AE109" s="663"/>
      <c r="AF109" s="663"/>
    </row>
    <row r="110" spans="1:68" ht="12.75" customHeight="1">
      <c r="C110" s="1035" t="s">
        <v>677</v>
      </c>
      <c r="D110" s="1035"/>
      <c r="E110" s="1035"/>
      <c r="F110" s="1035"/>
      <c r="G110" s="1035"/>
      <c r="H110" s="1035"/>
      <c r="I110" s="1035"/>
      <c r="J110" s="1035"/>
      <c r="AD110" s="663"/>
      <c r="AE110" s="663"/>
      <c r="AF110" s="663"/>
    </row>
    <row r="111" spans="1:68" ht="12.75" customHeight="1">
      <c r="C111" s="1035" t="s">
        <v>76</v>
      </c>
      <c r="D111" s="1035"/>
      <c r="E111" s="1035"/>
      <c r="F111" s="1035"/>
      <c r="G111" s="1035"/>
      <c r="H111" s="1035"/>
      <c r="I111" s="1035"/>
      <c r="J111" s="1035"/>
      <c r="S111" s="660"/>
      <c r="T111" s="660"/>
      <c r="U111" s="660"/>
      <c r="AD111" s="663"/>
      <c r="AE111" s="663"/>
      <c r="AF111" s="663"/>
      <c r="AV111" s="989"/>
      <c r="AW111" s="663"/>
      <c r="AX111" s="663"/>
      <c r="AY111" s="663"/>
    </row>
    <row r="112" spans="1:68" ht="12.75" customHeight="1">
      <c r="C112" s="1035" t="s">
        <v>678</v>
      </c>
      <c r="D112" s="1035"/>
      <c r="E112" s="1035"/>
      <c r="F112" s="1035"/>
      <c r="G112" s="1035"/>
      <c r="H112" s="1035"/>
      <c r="I112" s="1035"/>
      <c r="J112" s="1035"/>
      <c r="S112" s="660"/>
      <c r="T112" s="660"/>
      <c r="U112" s="660"/>
      <c r="AD112" s="663"/>
      <c r="AE112" s="663"/>
      <c r="AF112" s="663"/>
      <c r="AV112" s="989"/>
      <c r="AW112" s="663"/>
      <c r="AX112" s="663"/>
      <c r="AY112" s="663"/>
    </row>
    <row r="113" spans="1:64" ht="12.75" customHeight="1">
      <c r="C113" s="1035" t="s">
        <v>278</v>
      </c>
      <c r="D113" s="1035"/>
      <c r="E113" s="1035"/>
      <c r="F113" s="1035"/>
      <c r="G113" s="1035"/>
      <c r="H113" s="1035"/>
      <c r="I113" s="1035"/>
      <c r="J113" s="1035"/>
      <c r="AD113" s="663"/>
      <c r="AE113" s="663"/>
      <c r="AF113" s="663"/>
      <c r="AV113" s="989"/>
      <c r="AW113" s="663"/>
      <c r="AX113" s="663"/>
      <c r="AY113" s="663"/>
    </row>
    <row r="114" spans="1:64" ht="12.75" customHeight="1" thickBot="1">
      <c r="C114" s="1035" t="s">
        <v>278</v>
      </c>
      <c r="D114" s="1035"/>
      <c r="E114" s="1035"/>
      <c r="F114" s="1035"/>
      <c r="G114" s="1035"/>
      <c r="H114" s="1035"/>
      <c r="I114" s="1035"/>
      <c r="J114" s="1035"/>
      <c r="K114" s="672"/>
      <c r="L114" s="672"/>
      <c r="M114" s="672"/>
      <c r="N114" s="672"/>
      <c r="O114" s="672"/>
      <c r="P114" s="672"/>
      <c r="AD114" s="663"/>
      <c r="AE114" s="663"/>
      <c r="AF114" s="663"/>
      <c r="AV114" s="738"/>
      <c r="AW114" s="663"/>
      <c r="AX114" s="663"/>
      <c r="AY114" s="663"/>
    </row>
    <row r="115" spans="1:64" ht="12.75" customHeight="1" thickTop="1" thickBot="1">
      <c r="A115" s="673"/>
      <c r="B115" s="673"/>
      <c r="S115" s="673"/>
      <c r="T115" s="673"/>
      <c r="U115" s="673"/>
      <c r="V115" s="673"/>
      <c r="W115" s="673"/>
      <c r="X115" s="673"/>
      <c r="Y115" s="673"/>
      <c r="Z115" s="673"/>
      <c r="AA115" s="673"/>
      <c r="AB115" s="673"/>
      <c r="AC115" s="673"/>
      <c r="AI115" s="673"/>
      <c r="AJ115" s="673"/>
      <c r="AK115" s="673"/>
      <c r="AL115" s="673"/>
      <c r="AM115" s="673"/>
      <c r="AN115" s="673"/>
      <c r="AO115" s="674"/>
      <c r="AP115" s="737" t="s">
        <v>286</v>
      </c>
      <c r="AQ115" s="737"/>
      <c r="AR115" s="740"/>
      <c r="AS115" s="675" t="e">
        <f>SUM(#REF!,BM104,#REF!)</f>
        <v>#REF!</v>
      </c>
      <c r="AT115" s="672"/>
      <c r="AU115" s="672"/>
      <c r="AV115" s="672"/>
      <c r="AW115" s="673"/>
      <c r="AX115" s="673"/>
    </row>
    <row r="116" spans="1:64" ht="12.75" customHeight="1" thickTop="1" thickBot="1">
      <c r="C116" s="1032" t="s">
        <v>673</v>
      </c>
      <c r="D116" s="1032"/>
      <c r="E116" s="1032"/>
      <c r="F116" s="1032"/>
      <c r="G116" s="1032"/>
      <c r="H116" s="1032"/>
      <c r="I116" s="1032"/>
      <c r="J116" s="1032"/>
      <c r="K116" s="1032" t="s">
        <v>669</v>
      </c>
      <c r="L116" s="1032"/>
      <c r="M116" s="1032"/>
      <c r="N116" s="1032" t="s">
        <v>100</v>
      </c>
      <c r="O116" s="1032"/>
      <c r="P116" s="1032"/>
      <c r="Q116" s="1032"/>
      <c r="R116" s="1033" t="s">
        <v>41</v>
      </c>
      <c r="S116" s="1033"/>
      <c r="T116" s="1033"/>
      <c r="U116" s="1033"/>
      <c r="AD116" s="673"/>
      <c r="AE116" s="673"/>
      <c r="AF116" s="673"/>
      <c r="AG116" s="673"/>
      <c r="AH116" s="673"/>
      <c r="AO116" s="676" t="s">
        <v>113</v>
      </c>
      <c r="AP116" s="741" t="s">
        <v>284</v>
      </c>
      <c r="AQ116" s="737"/>
      <c r="AR116" s="740"/>
      <c r="AS116" s="675" t="e">
        <f>SUM(#REF!,BM104,#REF!)</f>
        <v>#REF!</v>
      </c>
      <c r="AU116" s="677" t="e">
        <f>SUM(#REF!,BN104,#REF!)</f>
        <v>#REF!</v>
      </c>
      <c r="AV116" s="678" t="e">
        <f>(#REF!+BO104+AV114)-(BO104*0.65)</f>
        <v>#REF!</v>
      </c>
      <c r="AY116" s="673"/>
    </row>
    <row r="117" spans="1:64" ht="12.75" customHeight="1" thickTop="1" thickBot="1">
      <c r="B117" s="660"/>
      <c r="C117" s="1029" t="s">
        <v>43</v>
      </c>
      <c r="D117" s="1029"/>
      <c r="E117" s="1029"/>
      <c r="F117" s="1029"/>
      <c r="G117" s="1029"/>
      <c r="H117" s="1029"/>
      <c r="I117" s="1029"/>
      <c r="J117" s="1029"/>
      <c r="K117" s="1030"/>
      <c r="L117" s="1030"/>
      <c r="M117" s="1030"/>
      <c r="N117" s="1031"/>
      <c r="O117" s="1031"/>
      <c r="P117" s="1031"/>
      <c r="Q117" s="1031"/>
      <c r="AO117" s="742" t="e">
        <f ca="1">(SUMIF($A$24:$A$43,"=x",BE35:BE78)+SUMIF($A$24:$A$43,"=x",BG35:BG78)+SUMIF(A79:A96,"=X",BL89:BL103)+SUMIF(#REF!,"=X",#REF!)+IF(#REF!&gt;0,#REF!*#REF!))</f>
        <v>#REF!</v>
      </c>
      <c r="AP117" s="741" t="s">
        <v>285</v>
      </c>
      <c r="AQ117" s="737"/>
      <c r="AR117" s="740"/>
      <c r="AS117" s="675" t="e">
        <f>SUM(#REF!,BM104,#REF!)</f>
        <v>#REF!</v>
      </c>
      <c r="AU117" s="679" t="e">
        <f>AU116-SUM(#REF!,#REF!)</f>
        <v>#REF!</v>
      </c>
      <c r="AV117" s="678" t="e">
        <f>AV116-SUM(#REF!,AV111:AV113)</f>
        <v>#REF!</v>
      </c>
    </row>
    <row r="118" spans="1:64" ht="12.75" customHeight="1" thickTop="1" thickBot="1">
      <c r="B118" s="660"/>
      <c r="C118" s="1029" t="s">
        <v>679</v>
      </c>
      <c r="D118" s="1029"/>
      <c r="E118" s="1029"/>
      <c r="F118" s="1029"/>
      <c r="G118" s="1029"/>
      <c r="H118" s="1029"/>
      <c r="I118" s="1029"/>
      <c r="J118" s="1029"/>
      <c r="K118" s="1030"/>
      <c r="L118" s="1030"/>
      <c r="M118" s="1030"/>
      <c r="N118" s="1031"/>
      <c r="O118" s="1031"/>
      <c r="P118" s="1031"/>
      <c r="Q118" s="1031"/>
      <c r="S118" s="743"/>
      <c r="T118" s="743"/>
      <c r="U118" s="743"/>
      <c r="V118" s="743"/>
      <c r="W118" s="743"/>
      <c r="X118" s="743"/>
      <c r="Y118" s="743"/>
      <c r="Z118" s="743"/>
      <c r="AA118" s="743"/>
      <c r="AB118" s="743"/>
      <c r="AC118" s="743"/>
      <c r="AJ118" s="659">
        <v>0</v>
      </c>
      <c r="AO118" s="680">
        <v>0</v>
      </c>
      <c r="AP118" s="741" t="s">
        <v>117</v>
      </c>
      <c r="AQ118" s="737"/>
      <c r="AR118" s="740"/>
      <c r="AS118" s="680">
        <v>0</v>
      </c>
      <c r="AT118" s="659" t="s">
        <v>179</v>
      </c>
      <c r="AU118" s="680" t="e">
        <f>#REF!/8</f>
        <v>#REF!</v>
      </c>
      <c r="AV118" s="680">
        <f>AS118*0.8</f>
        <v>0</v>
      </c>
      <c r="AW118" s="743"/>
      <c r="AX118" s="743"/>
    </row>
    <row r="119" spans="1:64" ht="12.75" customHeight="1" thickTop="1">
      <c r="A119" s="660"/>
      <c r="B119" s="660"/>
      <c r="C119" s="660"/>
      <c r="D119" s="687"/>
      <c r="E119" s="687"/>
      <c r="F119" s="687"/>
      <c r="G119" s="687"/>
      <c r="H119" s="687"/>
      <c r="I119" s="671"/>
      <c r="J119" s="723"/>
      <c r="K119" s="704"/>
      <c r="L119" s="753"/>
      <c r="M119" s="753"/>
      <c r="N119" s="995"/>
      <c r="O119" s="996"/>
      <c r="P119" s="996"/>
      <c r="Q119" s="660"/>
      <c r="R119" s="660"/>
      <c r="S119" s="660"/>
      <c r="T119" s="660"/>
      <c r="U119" s="660"/>
      <c r="V119" s="687"/>
      <c r="W119" s="660"/>
      <c r="X119" s="660"/>
      <c r="Y119" s="660"/>
      <c r="Z119" s="660"/>
      <c r="AA119" s="660"/>
      <c r="AB119" s="660"/>
      <c r="AC119" s="660"/>
      <c r="AD119" s="743"/>
      <c r="AE119" s="743"/>
      <c r="AF119" s="743"/>
      <c r="AG119" s="743"/>
      <c r="AH119" s="743"/>
      <c r="AI119" s="743"/>
      <c r="AJ119" s="743"/>
      <c r="AK119" s="743"/>
      <c r="AL119" s="743"/>
      <c r="AM119" s="743"/>
      <c r="AN119" s="743"/>
      <c r="AO119" s="743"/>
      <c r="AP119" s="743"/>
      <c r="AQ119" s="743"/>
      <c r="AR119" s="743"/>
      <c r="AS119" s="743"/>
      <c r="AT119" s="743"/>
      <c r="AU119" s="743"/>
      <c r="AV119" s="743"/>
      <c r="AW119" s="743"/>
      <c r="AX119" s="743"/>
      <c r="AY119" s="743"/>
    </row>
    <row r="120" spans="1:64" ht="12.75" customHeight="1">
      <c r="A120" s="663"/>
      <c r="B120" s="700"/>
      <c r="C120" s="700"/>
      <c r="D120" s="663"/>
      <c r="E120" s="663"/>
      <c r="F120" s="663"/>
      <c r="G120" s="663"/>
      <c r="H120" s="663"/>
      <c r="I120" s="663"/>
      <c r="J120" s="663"/>
      <c r="K120" s="663"/>
      <c r="L120" s="704"/>
      <c r="M120" s="723"/>
      <c r="N120" s="972"/>
      <c r="O120" s="972"/>
      <c r="P120" s="997"/>
      <c r="Q120" s="663"/>
      <c r="R120" s="663"/>
      <c r="AD120" s="660"/>
      <c r="AE120" s="660"/>
      <c r="AF120" s="660"/>
      <c r="AG120" s="660"/>
      <c r="AH120" s="660"/>
      <c r="AI120" s="660"/>
      <c r="AJ120" s="660"/>
      <c r="AK120" s="660"/>
      <c r="AL120" s="660"/>
      <c r="AM120" s="660"/>
      <c r="AN120" s="660"/>
      <c r="AO120" s="660"/>
      <c r="AP120" s="660"/>
      <c r="AQ120" s="660"/>
      <c r="AR120" s="660"/>
      <c r="AS120" s="660"/>
      <c r="AT120" s="660"/>
      <c r="AU120" s="660"/>
      <c r="AV120" s="660"/>
      <c r="AW120" s="660"/>
      <c r="AX120" s="660"/>
      <c r="AY120" s="660"/>
    </row>
    <row r="121" spans="1:64" ht="12.75" customHeight="1">
      <c r="A121" s="663"/>
      <c r="B121" s="700"/>
      <c r="C121" s="700"/>
      <c r="D121" s="663"/>
      <c r="E121" s="663"/>
      <c r="F121" s="663"/>
      <c r="G121" s="663"/>
      <c r="H121" s="663"/>
      <c r="I121" s="663"/>
      <c r="J121" s="663"/>
      <c r="K121" s="663"/>
      <c r="L121" s="704"/>
      <c r="M121" s="723"/>
      <c r="N121" s="972"/>
      <c r="O121" s="972"/>
      <c r="P121" s="997"/>
      <c r="Q121" s="663"/>
      <c r="R121" s="663"/>
      <c r="AD121" s="660"/>
      <c r="AE121" s="660"/>
      <c r="AF121" s="660"/>
      <c r="AG121" s="660"/>
      <c r="AH121" s="660"/>
      <c r="AI121" s="660"/>
      <c r="AJ121" s="660"/>
      <c r="AK121" s="660"/>
      <c r="AL121" s="660"/>
      <c r="AM121" s="660"/>
      <c r="AN121" s="660"/>
      <c r="AO121" s="660"/>
      <c r="AP121" s="660"/>
      <c r="AQ121" s="660"/>
      <c r="AR121" s="660"/>
      <c r="AS121" s="660"/>
      <c r="AT121" s="660"/>
      <c r="AU121" s="660"/>
      <c r="AV121" s="660"/>
      <c r="AW121" s="660"/>
      <c r="AX121" s="660"/>
      <c r="AY121" s="660"/>
    </row>
    <row r="122" spans="1:64" s="673" customFormat="1" ht="12.75" customHeight="1">
      <c r="A122" s="663"/>
      <c r="B122" s="700"/>
      <c r="C122" s="700"/>
      <c r="D122" s="663"/>
      <c r="E122" s="663"/>
      <c r="F122" s="663"/>
      <c r="G122" s="663"/>
      <c r="H122" s="663"/>
      <c r="I122" s="663"/>
      <c r="J122" s="663"/>
      <c r="K122" s="663"/>
      <c r="L122" s="704"/>
      <c r="M122" s="723"/>
      <c r="N122" s="972"/>
      <c r="O122" s="972"/>
      <c r="P122" s="997"/>
      <c r="Q122" s="998"/>
      <c r="R122" s="663"/>
      <c r="S122" s="659"/>
      <c r="T122" s="659"/>
      <c r="U122" s="659"/>
      <c r="V122" s="659"/>
      <c r="W122" s="659"/>
      <c r="X122" s="659"/>
      <c r="Y122" s="659"/>
      <c r="Z122" s="659"/>
      <c r="AA122" s="659"/>
      <c r="AB122" s="659"/>
      <c r="AC122" s="659"/>
      <c r="AD122" s="659"/>
      <c r="AE122" s="659"/>
      <c r="AF122" s="659"/>
      <c r="AG122" s="659"/>
      <c r="AH122" s="659"/>
      <c r="AI122" s="659"/>
      <c r="AJ122" s="659"/>
      <c r="AK122" s="659"/>
      <c r="AL122" s="659"/>
      <c r="AM122" s="659"/>
      <c r="AN122" s="659"/>
      <c r="AO122" s="659"/>
      <c r="AP122" s="659"/>
      <c r="AQ122" s="659"/>
      <c r="AR122" s="659"/>
      <c r="AS122" s="659"/>
      <c r="AT122" s="659"/>
      <c r="AU122" s="659"/>
      <c r="AV122" s="659"/>
      <c r="AW122" s="659"/>
      <c r="AX122" s="659"/>
      <c r="AY122" s="659"/>
    </row>
    <row r="123" spans="1:64" ht="12.75" customHeight="1">
      <c r="A123" s="663"/>
      <c r="B123" s="700"/>
      <c r="C123" s="700"/>
      <c r="D123" s="663"/>
      <c r="E123" s="663"/>
      <c r="F123" s="663"/>
      <c r="G123" s="663"/>
      <c r="H123" s="663"/>
      <c r="I123" s="975"/>
      <c r="J123" s="975"/>
      <c r="K123" s="663"/>
      <c r="L123" s="704"/>
      <c r="M123" s="664"/>
      <c r="N123" s="972"/>
      <c r="O123" s="972"/>
      <c r="P123" s="747"/>
      <c r="Q123" s="663"/>
      <c r="R123" s="663"/>
    </row>
    <row r="124" spans="1:64" ht="12.75" customHeight="1">
      <c r="A124" s="673"/>
      <c r="B124" s="746"/>
      <c r="C124" s="746"/>
      <c r="D124" s="663"/>
      <c r="E124" s="663"/>
      <c r="F124" s="663"/>
      <c r="G124" s="663"/>
      <c r="H124" s="663"/>
      <c r="I124" s="1012" t="s">
        <v>133</v>
      </c>
      <c r="J124" s="1004"/>
      <c r="K124" s="663"/>
      <c r="L124" s="686"/>
      <c r="M124" s="664"/>
      <c r="N124" s="969"/>
      <c r="O124" s="969"/>
      <c r="P124" s="747"/>
      <c r="Q124" s="673"/>
      <c r="R124" s="673"/>
      <c r="S124" s="673"/>
      <c r="T124" s="673"/>
      <c r="U124" s="673"/>
      <c r="V124" s="673"/>
      <c r="W124" s="673"/>
      <c r="X124" s="673"/>
      <c r="Y124" s="673"/>
      <c r="Z124" s="673"/>
      <c r="AA124" s="673"/>
      <c r="AB124" s="673"/>
      <c r="AC124" s="673"/>
    </row>
    <row r="125" spans="1:64" ht="12.75" customHeight="1">
      <c r="D125" s="663"/>
      <c r="E125" s="663"/>
      <c r="F125" s="663"/>
      <c r="G125" s="663"/>
      <c r="H125" s="663"/>
      <c r="I125" s="1012" t="s">
        <v>135</v>
      </c>
      <c r="J125" s="660"/>
      <c r="K125" s="660"/>
      <c r="L125" s="723"/>
      <c r="M125" s="723"/>
      <c r="N125" s="723"/>
      <c r="O125" s="974"/>
      <c r="P125" s="974"/>
      <c r="Q125" s="663"/>
      <c r="AD125" s="673"/>
      <c r="AE125" s="673"/>
      <c r="AF125" s="673"/>
      <c r="AG125" s="673"/>
      <c r="AH125" s="673"/>
      <c r="AI125" s="673"/>
      <c r="AJ125" s="673"/>
      <c r="AK125" s="673"/>
      <c r="AL125" s="673"/>
      <c r="AM125" s="673"/>
      <c r="AN125" s="673"/>
      <c r="AO125" s="673"/>
      <c r="AP125" s="673"/>
      <c r="AQ125" s="673"/>
      <c r="AR125" s="673"/>
      <c r="AS125" s="673"/>
      <c r="AT125" s="673"/>
      <c r="AU125" s="673"/>
      <c r="AV125" s="673"/>
      <c r="AW125" s="673"/>
      <c r="AX125" s="673"/>
      <c r="AY125" s="673"/>
      <c r="AZ125" s="743"/>
      <c r="BA125" s="743"/>
      <c r="BB125" s="743"/>
      <c r="BC125" s="743"/>
      <c r="BD125" s="743"/>
      <c r="BE125" s="743"/>
      <c r="BF125" s="743"/>
      <c r="BG125" s="743"/>
      <c r="BH125" s="743"/>
      <c r="BI125" s="743"/>
      <c r="BJ125" s="743"/>
      <c r="BK125" s="743"/>
      <c r="BL125" s="743"/>
    </row>
    <row r="126" spans="1:64" s="660" customFormat="1" ht="12.75" customHeight="1">
      <c r="A126" s="659"/>
      <c r="B126" s="659"/>
      <c r="C126" s="659"/>
      <c r="D126" s="723"/>
      <c r="E126" s="723"/>
      <c r="F126" s="723"/>
      <c r="G126" s="723"/>
      <c r="H126" s="723"/>
      <c r="I126" s="1012" t="s">
        <v>136</v>
      </c>
      <c r="J126" s="1003"/>
      <c r="K126" s="1003"/>
      <c r="L126" s="827"/>
      <c r="M126" s="753"/>
      <c r="N126" s="1005"/>
      <c r="O126" s="1006"/>
      <c r="P126" s="1006"/>
      <c r="Q126" s="663"/>
      <c r="S126" s="659"/>
      <c r="T126" s="659"/>
      <c r="U126" s="659"/>
      <c r="V126" s="659"/>
      <c r="W126" s="659"/>
      <c r="X126" s="659"/>
      <c r="Y126" s="659"/>
      <c r="Z126" s="659"/>
      <c r="AA126" s="659"/>
      <c r="AB126" s="659"/>
      <c r="AC126" s="659"/>
      <c r="AD126" s="659"/>
      <c r="AE126" s="659"/>
      <c r="AF126" s="659"/>
      <c r="AG126" s="659"/>
      <c r="AH126" s="659"/>
      <c r="AI126" s="659"/>
      <c r="AJ126" s="659"/>
      <c r="AK126" s="659"/>
      <c r="AL126" s="659"/>
      <c r="AM126" s="659"/>
      <c r="AN126" s="659"/>
      <c r="AO126" s="659"/>
      <c r="AP126" s="659"/>
      <c r="AQ126" s="659"/>
      <c r="AR126" s="659"/>
      <c r="AS126" s="659"/>
      <c r="AT126" s="659"/>
      <c r="AU126" s="659"/>
      <c r="AV126" s="659"/>
      <c r="AW126" s="659"/>
      <c r="AX126" s="659"/>
      <c r="AY126" s="659"/>
    </row>
    <row r="127" spans="1:64" ht="12.75" customHeight="1">
      <c r="D127" s="754"/>
      <c r="E127" s="754"/>
      <c r="F127" s="754"/>
      <c r="G127" s="754"/>
      <c r="H127" s="754"/>
      <c r="I127" s="1012" t="s">
        <v>137</v>
      </c>
      <c r="J127" s="723"/>
      <c r="K127" s="1003"/>
      <c r="L127" s="663"/>
      <c r="M127" s="753"/>
      <c r="N127" s="1006"/>
      <c r="O127" s="1006"/>
      <c r="P127" s="1006"/>
      <c r="Q127" s="663"/>
    </row>
    <row r="128" spans="1:64" ht="12.75" customHeight="1">
      <c r="A128" s="663"/>
      <c r="B128" s="663"/>
      <c r="C128" s="663"/>
      <c r="D128" s="660"/>
      <c r="E128" s="756"/>
      <c r="F128" s="756"/>
      <c r="G128" s="756"/>
      <c r="H128" s="756"/>
      <c r="I128" s="1012" t="s">
        <v>134</v>
      </c>
      <c r="J128" s="1010" t="e">
        <f>K131*(((#REF!-K132)*K133)-#REF!)</f>
        <v>#REF!</v>
      </c>
      <c r="K128" s="660"/>
      <c r="L128" s="660"/>
      <c r="M128" s="660"/>
      <c r="N128" s="660"/>
      <c r="O128" s="972"/>
      <c r="P128" s="972"/>
      <c r="Q128" s="663"/>
      <c r="R128" s="753"/>
      <c r="S128" s="663"/>
      <c r="T128" s="663"/>
      <c r="U128" s="663"/>
      <c r="V128" s="756"/>
      <c r="W128" s="1015"/>
      <c r="X128" s="1015"/>
      <c r="Y128" s="1015"/>
      <c r="Z128" s="660"/>
      <c r="AA128" s="663"/>
      <c r="AB128" s="663"/>
      <c r="AC128" s="663"/>
      <c r="AD128" s="660"/>
      <c r="AE128" s="660"/>
      <c r="AF128" s="660"/>
      <c r="AG128" s="660"/>
      <c r="AH128" s="660"/>
      <c r="AI128" s="1015"/>
      <c r="AJ128" s="1015"/>
      <c r="AK128" s="1015"/>
      <c r="AL128" s="1015"/>
      <c r="AM128" s="1015"/>
      <c r="AN128" s="660"/>
    </row>
    <row r="129" spans="1:51" ht="12.75" customHeight="1">
      <c r="B129" s="754"/>
      <c r="C129" s="754"/>
      <c r="D129" s="660"/>
      <c r="E129" s="756"/>
      <c r="F129" s="756"/>
      <c r="G129" s="756"/>
      <c r="H129" s="756"/>
      <c r="I129" s="671"/>
      <c r="J129" s="660"/>
      <c r="K129" s="972"/>
      <c r="L129" s="972"/>
      <c r="M129" s="972"/>
      <c r="N129" s="972"/>
      <c r="O129" s="972"/>
      <c r="P129" s="972"/>
      <c r="Q129" s="660"/>
      <c r="R129" s="1017"/>
      <c r="S129" s="1017"/>
      <c r="T129" s="757"/>
      <c r="V129" s="756"/>
      <c r="W129" s="660"/>
      <c r="X129" s="660"/>
      <c r="Y129" s="660"/>
      <c r="Z129" s="660"/>
      <c r="AA129" s="660"/>
      <c r="AB129" s="660"/>
      <c r="AC129" s="660"/>
      <c r="AD129" s="663"/>
      <c r="AE129" s="663"/>
      <c r="AF129" s="663"/>
      <c r="AG129" s="663"/>
      <c r="AH129" s="663"/>
      <c r="AI129" s="663"/>
      <c r="AJ129" s="663"/>
      <c r="AK129" s="663"/>
      <c r="AL129" s="663"/>
      <c r="AM129" s="663"/>
      <c r="AN129" s="663"/>
      <c r="AO129" s="663"/>
      <c r="AP129" s="663"/>
      <c r="AQ129" s="663"/>
      <c r="AR129" s="663"/>
      <c r="AS129" s="663"/>
      <c r="AT129" s="663"/>
      <c r="AU129" s="663"/>
      <c r="AV129" s="663"/>
      <c r="AW129" s="663"/>
      <c r="AX129" s="663"/>
      <c r="AY129" s="663"/>
    </row>
    <row r="130" spans="1:51" s="673" customFormat="1" ht="12.75" customHeight="1">
      <c r="A130" s="659"/>
      <c r="B130" s="754"/>
      <c r="C130" s="754"/>
      <c r="D130" s="663"/>
      <c r="E130" s="756"/>
      <c r="F130" s="756"/>
      <c r="G130" s="756"/>
      <c r="H130" s="756"/>
      <c r="I130" s="663"/>
      <c r="J130" s="1015"/>
      <c r="K130" s="972"/>
      <c r="L130" s="972"/>
      <c r="M130" s="972"/>
      <c r="N130" s="972"/>
      <c r="O130" s="972"/>
      <c r="P130" s="972"/>
      <c r="Q130" s="660"/>
      <c r="R130" s="1017"/>
      <c r="S130" s="1017"/>
      <c r="T130" s="757"/>
      <c r="U130" s="659"/>
      <c r="V130" s="756"/>
      <c r="W130" s="660"/>
      <c r="X130" s="660"/>
      <c r="Y130" s="660"/>
      <c r="Z130" s="660"/>
      <c r="AA130" s="660"/>
      <c r="AB130" s="660"/>
      <c r="AC130" s="660"/>
      <c r="AD130" s="660"/>
      <c r="AE130" s="660"/>
      <c r="AF130" s="660"/>
      <c r="AG130" s="660"/>
      <c r="AH130" s="660"/>
      <c r="AI130" s="660"/>
      <c r="AJ130" s="660"/>
      <c r="AK130" s="660"/>
      <c r="AL130" s="660"/>
      <c r="AM130" s="660"/>
      <c r="AN130" s="660"/>
      <c r="AO130" s="659"/>
      <c r="AP130" s="659"/>
      <c r="AQ130" s="659"/>
      <c r="AR130" s="659"/>
      <c r="AS130" s="659"/>
      <c r="AT130" s="659"/>
      <c r="AU130" s="659"/>
      <c r="AV130" s="659"/>
      <c r="AW130" s="659"/>
      <c r="AX130" s="659"/>
      <c r="AY130" s="659"/>
    </row>
    <row r="131" spans="1:51" ht="12.75" customHeight="1">
      <c r="B131" s="754"/>
      <c r="C131" s="754"/>
      <c r="D131" s="660"/>
      <c r="E131" s="756"/>
      <c r="F131" s="756"/>
      <c r="G131" s="756"/>
      <c r="H131" s="756"/>
      <c r="I131" s="671"/>
      <c r="J131" s="660"/>
      <c r="K131" s="972"/>
      <c r="L131" s="972"/>
      <c r="M131" s="972"/>
      <c r="N131" s="972"/>
      <c r="O131" s="972"/>
      <c r="P131" s="972"/>
      <c r="Q131" s="660"/>
      <c r="R131" s="1017"/>
      <c r="S131" s="1017"/>
      <c r="T131" s="757"/>
      <c r="V131" s="756"/>
      <c r="W131" s="660"/>
      <c r="X131" s="660"/>
      <c r="Y131" s="660"/>
      <c r="Z131" s="660"/>
      <c r="AA131" s="660"/>
      <c r="AB131" s="660"/>
      <c r="AC131" s="660"/>
      <c r="AD131" s="660"/>
      <c r="AE131" s="660"/>
      <c r="AF131" s="660"/>
      <c r="AG131" s="660"/>
      <c r="AH131" s="660"/>
      <c r="AI131" s="660"/>
      <c r="AJ131" s="660"/>
      <c r="AK131" s="660"/>
      <c r="AL131" s="660"/>
      <c r="AM131" s="660"/>
      <c r="AN131" s="660"/>
    </row>
    <row r="132" spans="1:51" ht="12.75" customHeight="1">
      <c r="B132" s="754"/>
      <c r="C132" s="754"/>
      <c r="D132" s="660"/>
      <c r="E132" s="756"/>
      <c r="F132" s="756"/>
      <c r="G132" s="756"/>
      <c r="H132" s="756"/>
      <c r="I132" s="671"/>
      <c r="J132" s="660"/>
      <c r="K132" s="972"/>
      <c r="L132" s="972"/>
      <c r="M132" s="972"/>
      <c r="N132" s="972"/>
      <c r="O132" s="972"/>
      <c r="P132" s="972"/>
      <c r="Q132" s="660"/>
      <c r="R132" s="1017"/>
      <c r="S132" s="1017"/>
      <c r="T132" s="757"/>
      <c r="V132" s="756"/>
      <c r="W132" s="660"/>
      <c r="X132" s="660"/>
      <c r="Y132" s="660"/>
      <c r="Z132" s="660"/>
      <c r="AA132" s="660"/>
      <c r="AB132" s="660"/>
      <c r="AC132" s="660"/>
      <c r="AD132" s="660"/>
      <c r="AE132" s="660"/>
      <c r="AF132" s="660"/>
      <c r="AG132" s="660"/>
      <c r="AH132" s="660"/>
      <c r="AI132" s="660"/>
      <c r="AJ132" s="660"/>
      <c r="AK132" s="660"/>
      <c r="AL132" s="660"/>
      <c r="AM132" s="660"/>
      <c r="AN132" s="660"/>
    </row>
    <row r="133" spans="1:51" ht="12.75" customHeight="1">
      <c r="B133" s="754"/>
      <c r="C133" s="754"/>
      <c r="D133" s="660"/>
      <c r="E133" s="756"/>
      <c r="F133" s="756"/>
      <c r="G133" s="756"/>
      <c r="H133" s="756"/>
      <c r="I133" s="671"/>
      <c r="J133" s="660"/>
      <c r="K133" s="972"/>
      <c r="L133" s="972"/>
      <c r="M133" s="972"/>
      <c r="N133" s="972"/>
      <c r="O133" s="972"/>
      <c r="P133" s="972"/>
      <c r="Q133" s="660"/>
      <c r="R133" s="1017"/>
      <c r="S133" s="1017"/>
      <c r="T133" s="757"/>
      <c r="V133" s="756"/>
      <c r="W133" s="660"/>
      <c r="X133" s="660"/>
      <c r="Y133" s="660"/>
      <c r="Z133" s="660"/>
      <c r="AA133" s="660"/>
      <c r="AB133" s="660"/>
      <c r="AC133" s="660"/>
      <c r="AD133" s="660"/>
      <c r="AE133" s="660"/>
      <c r="AF133" s="660"/>
      <c r="AG133" s="660"/>
      <c r="AH133" s="660"/>
      <c r="AI133" s="660"/>
      <c r="AJ133" s="660"/>
      <c r="AK133" s="660"/>
      <c r="AL133" s="660"/>
      <c r="AM133" s="660"/>
      <c r="AN133" s="660"/>
    </row>
    <row r="134" spans="1:51" s="663" customFormat="1" ht="12.75" customHeight="1" thickBot="1">
      <c r="A134" s="659"/>
      <c r="B134" s="754"/>
      <c r="C134" s="754"/>
      <c r="E134" s="756"/>
      <c r="F134" s="756"/>
      <c r="G134" s="756"/>
      <c r="H134" s="756"/>
      <c r="J134" s="1016"/>
      <c r="K134" s="972"/>
      <c r="L134" s="972"/>
      <c r="M134" s="972"/>
      <c r="N134" s="972"/>
      <c r="O134" s="972"/>
      <c r="P134" s="972"/>
      <c r="Q134" s="659"/>
      <c r="R134" s="757"/>
      <c r="S134" s="757"/>
      <c r="T134" s="757"/>
      <c r="U134" s="659"/>
      <c r="V134" s="756"/>
      <c r="W134" s="660"/>
      <c r="X134" s="660"/>
      <c r="Y134" s="660"/>
      <c r="Z134" s="660"/>
      <c r="AA134" s="660"/>
      <c r="AB134" s="660"/>
      <c r="AC134" s="660"/>
      <c r="AD134" s="660"/>
      <c r="AE134" s="660"/>
      <c r="AF134" s="1012" t="s">
        <v>85</v>
      </c>
      <c r="AG134" s="660"/>
      <c r="AH134" s="1014">
        <f>IF(K141=0,0,(($J$143+J128)*2)/(SUM(K139:K140)+($K$138/2)))</f>
        <v>0</v>
      </c>
      <c r="AI134" s="660"/>
      <c r="AJ134" s="660"/>
      <c r="AK134" s="660"/>
      <c r="AL134" s="660"/>
      <c r="AM134" s="660"/>
      <c r="AN134" s="660"/>
      <c r="AO134" s="659"/>
      <c r="AP134" s="659"/>
      <c r="AQ134" s="659"/>
      <c r="AR134" s="659"/>
      <c r="AS134" s="659"/>
      <c r="AT134" s="659"/>
      <c r="AU134" s="659"/>
      <c r="AV134" s="659"/>
      <c r="AW134" s="659"/>
      <c r="AX134" s="659"/>
      <c r="AY134" s="659"/>
    </row>
    <row r="135" spans="1:51" ht="12.75" customHeight="1">
      <c r="B135" s="754"/>
      <c r="C135" s="754"/>
      <c r="D135" s="660"/>
      <c r="E135" s="756"/>
      <c r="F135" s="756"/>
      <c r="G135" s="756"/>
      <c r="H135" s="756"/>
      <c r="L135" s="761">
        <f>AV16</f>
        <v>0</v>
      </c>
      <c r="M135" s="976" t="s">
        <v>22</v>
      </c>
      <c r="N135" s="762" t="e">
        <f>AH5</f>
        <v>#DIV/0!</v>
      </c>
      <c r="O135" s="763" t="s">
        <v>53</v>
      </c>
      <c r="P135" s="764" t="s">
        <v>54</v>
      </c>
      <c r="R135" s="757"/>
      <c r="S135" s="757"/>
      <c r="T135" s="757"/>
      <c r="V135" s="756"/>
      <c r="W135" s="660"/>
      <c r="X135" s="660" t="s">
        <v>363</v>
      </c>
      <c r="Y135" s="660"/>
      <c r="Z135" s="660"/>
      <c r="AA135" s="660"/>
      <c r="AB135" s="660"/>
      <c r="AC135" s="660"/>
      <c r="AD135" s="660"/>
      <c r="AE135" s="660"/>
      <c r="AF135" s="1012" t="s">
        <v>49</v>
      </c>
      <c r="AG135" s="660"/>
      <c r="AH135" s="1014">
        <f>IF(K141=0,0,AH5/K139)</f>
        <v>0</v>
      </c>
      <c r="AI135" s="660"/>
      <c r="AJ135" s="660"/>
      <c r="AK135" s="660"/>
      <c r="AL135" s="660"/>
      <c r="AM135" s="660"/>
      <c r="AN135" s="660"/>
    </row>
    <row r="136" spans="1:51" ht="12.75" customHeight="1" thickBot="1">
      <c r="B136" s="754"/>
      <c r="C136" s="754"/>
      <c r="D136" s="660"/>
      <c r="E136" s="756"/>
      <c r="F136" s="756"/>
      <c r="G136" s="756"/>
      <c r="H136" s="756"/>
      <c r="L136" s="760" t="s">
        <v>55</v>
      </c>
      <c r="M136" s="765">
        <f>SUM(AW24:AW25)</f>
        <v>13</v>
      </c>
      <c r="N136" s="660"/>
      <c r="O136" s="661"/>
      <c r="P136" s="766"/>
      <c r="Q136" s="727"/>
      <c r="R136" s="727"/>
      <c r="S136" s="727"/>
      <c r="T136" s="727"/>
      <c r="U136" s="727"/>
      <c r="V136" s="756"/>
      <c r="W136" s="660"/>
      <c r="X136" s="660"/>
      <c r="Y136" s="660"/>
      <c r="Z136" s="660"/>
      <c r="AA136" s="660"/>
      <c r="AB136" s="660"/>
      <c r="AC136" s="660"/>
      <c r="AD136" s="660"/>
      <c r="AE136" s="660"/>
      <c r="AF136" s="660"/>
      <c r="AG136" s="660"/>
      <c r="AH136" s="660"/>
      <c r="AI136" s="660"/>
      <c r="AJ136" s="660"/>
      <c r="AK136" s="660"/>
      <c r="AL136" s="660"/>
      <c r="AM136" s="660"/>
      <c r="AN136" s="660"/>
    </row>
    <row r="137" spans="1:51" ht="12.75" customHeight="1">
      <c r="A137" s="673"/>
      <c r="B137" s="754"/>
      <c r="C137" s="754"/>
      <c r="D137" s="660"/>
      <c r="E137" s="756"/>
      <c r="F137" s="756"/>
      <c r="G137" s="756"/>
      <c r="H137" s="756"/>
      <c r="I137" s="758" t="s">
        <v>138</v>
      </c>
      <c r="J137" s="758"/>
      <c r="K137" s="759"/>
      <c r="L137" s="760" t="s">
        <v>56</v>
      </c>
      <c r="M137" s="750">
        <v>1</v>
      </c>
      <c r="N137" s="660"/>
      <c r="O137" s="661" t="s">
        <v>139</v>
      </c>
      <c r="P137" s="690" t="e">
        <f>(L135*N135)/3600</f>
        <v>#DIV/0!</v>
      </c>
      <c r="Q137" s="663"/>
      <c r="R137" s="663"/>
      <c r="S137" s="663"/>
      <c r="T137" s="663"/>
      <c r="U137" s="663"/>
      <c r="V137" s="756"/>
      <c r="W137" s="663"/>
      <c r="X137" s="663"/>
      <c r="Y137" s="663"/>
      <c r="Z137" s="663"/>
      <c r="AA137" s="663"/>
      <c r="AB137" s="663"/>
      <c r="AC137" s="663"/>
      <c r="AD137" s="660"/>
      <c r="AE137" s="660"/>
      <c r="AF137" s="660"/>
      <c r="AG137" s="660"/>
      <c r="AH137" s="660"/>
      <c r="AI137" s="660"/>
      <c r="AJ137" s="660"/>
      <c r="AK137" s="660"/>
      <c r="AL137" s="660"/>
      <c r="AM137" s="660"/>
      <c r="AN137" s="660"/>
    </row>
    <row r="138" spans="1:51" ht="12.75" customHeight="1">
      <c r="B138" s="754"/>
      <c r="C138" s="754"/>
      <c r="D138" s="660"/>
      <c r="E138" s="756"/>
      <c r="F138" s="756"/>
      <c r="G138" s="756"/>
      <c r="H138" s="756"/>
      <c r="I138" s="836" t="s">
        <v>50</v>
      </c>
      <c r="J138" s="689"/>
      <c r="K138" s="691"/>
      <c r="L138" s="760" t="s">
        <v>57</v>
      </c>
      <c r="M138" s="750">
        <v>1</v>
      </c>
      <c r="N138" s="660"/>
      <c r="O138" s="669" t="s">
        <v>58</v>
      </c>
      <c r="P138" s="692" t="e">
        <f>P137/M141</f>
        <v>#DIV/0!</v>
      </c>
      <c r="V138" s="756"/>
      <c r="W138" s="660"/>
      <c r="X138" s="660"/>
      <c r="Y138" s="660"/>
      <c r="Z138" s="660"/>
      <c r="AA138" s="660"/>
      <c r="AB138" s="660"/>
      <c r="AC138" s="660"/>
      <c r="AD138" s="663"/>
      <c r="AE138" s="663"/>
      <c r="AF138" s="663"/>
      <c r="AG138" s="663"/>
      <c r="AH138" s="663"/>
      <c r="AI138" s="663"/>
      <c r="AJ138" s="663"/>
      <c r="AK138" s="663"/>
      <c r="AL138" s="663"/>
      <c r="AM138" s="663"/>
      <c r="AN138" s="663"/>
      <c r="AO138" s="673"/>
      <c r="AP138" s="673"/>
      <c r="AQ138" s="673"/>
      <c r="AR138" s="673"/>
      <c r="AS138" s="673"/>
      <c r="AT138" s="673"/>
      <c r="AU138" s="673"/>
      <c r="AV138" s="673"/>
      <c r="AW138" s="673"/>
      <c r="AX138" s="673"/>
      <c r="AY138" s="673"/>
    </row>
    <row r="139" spans="1:51" ht="12.75" customHeight="1">
      <c r="A139" s="673"/>
      <c r="B139" s="754"/>
      <c r="C139" s="754"/>
      <c r="D139" s="660"/>
      <c r="E139" s="756"/>
      <c r="F139" s="756"/>
      <c r="G139" s="756"/>
      <c r="H139" s="756"/>
      <c r="I139" s="836" t="s">
        <v>59</v>
      </c>
      <c r="J139" s="689"/>
      <c r="K139" s="691"/>
      <c r="L139" s="760" t="s">
        <v>60</v>
      </c>
      <c r="M139" s="750">
        <v>3</v>
      </c>
      <c r="N139" s="660"/>
      <c r="O139" s="660"/>
      <c r="P139" s="693"/>
      <c r="Q139" s="673"/>
      <c r="R139" s="767"/>
      <c r="S139" s="724"/>
      <c r="T139" s="724"/>
      <c r="U139" s="724"/>
      <c r="V139" s="756"/>
      <c r="W139" s="663"/>
      <c r="X139" s="663"/>
      <c r="Y139" s="663"/>
      <c r="Z139" s="663"/>
      <c r="AA139" s="663"/>
      <c r="AB139" s="663"/>
      <c r="AC139" s="663"/>
      <c r="AD139" s="660"/>
      <c r="AE139" s="660"/>
      <c r="AF139" s="660"/>
      <c r="AG139" s="660"/>
      <c r="AH139" s="660"/>
      <c r="AI139" s="660"/>
      <c r="AJ139" s="660"/>
      <c r="AK139" s="660"/>
      <c r="AL139" s="660"/>
      <c r="AM139" s="660"/>
      <c r="AN139" s="660"/>
    </row>
    <row r="140" spans="1:51" ht="12.75" customHeight="1">
      <c r="A140" s="673"/>
      <c r="B140" s="754"/>
      <c r="C140" s="754"/>
      <c r="D140" s="660"/>
      <c r="E140" s="756"/>
      <c r="F140" s="756"/>
      <c r="G140" s="756"/>
      <c r="H140" s="756"/>
      <c r="I140" s="1018" t="s">
        <v>61</v>
      </c>
      <c r="J140" s="694" t="e">
        <f>IF(SUM(M137:M140)=0,0,P138)</f>
        <v>#DIV/0!</v>
      </c>
      <c r="K140" s="695">
        <v>0</v>
      </c>
      <c r="L140" s="760" t="s">
        <v>62</v>
      </c>
      <c r="M140" s="750"/>
      <c r="N140" s="660"/>
      <c r="O140" s="661" t="s">
        <v>63</v>
      </c>
      <c r="P140" s="696" t="e">
        <f>IF(#REF!&gt;0,#REF!,$F$6)/P138</f>
        <v>#REF!</v>
      </c>
      <c r="Q140" s="663"/>
      <c r="R140" s="663"/>
      <c r="S140" s="663"/>
      <c r="T140" s="663"/>
      <c r="U140" s="663"/>
      <c r="V140" s="756"/>
      <c r="W140" s="663"/>
      <c r="X140" s="663"/>
      <c r="Y140" s="663"/>
      <c r="Z140" s="663"/>
      <c r="AA140" s="663"/>
      <c r="AB140" s="663"/>
      <c r="AC140" s="663"/>
      <c r="AD140" s="663"/>
      <c r="AE140" s="663"/>
      <c r="AF140" s="663"/>
      <c r="AG140" s="663"/>
      <c r="AH140" s="663"/>
      <c r="AI140" s="663"/>
      <c r="AJ140" s="663"/>
      <c r="AK140" s="663"/>
      <c r="AL140" s="663"/>
      <c r="AM140" s="663"/>
      <c r="AN140" s="663"/>
      <c r="AO140" s="673"/>
      <c r="AP140" s="673"/>
      <c r="AQ140" s="673"/>
      <c r="AR140" s="673"/>
      <c r="AS140" s="673"/>
      <c r="AT140" s="673"/>
      <c r="AU140" s="673"/>
      <c r="AV140" s="673"/>
      <c r="AW140" s="673"/>
      <c r="AX140" s="673"/>
      <c r="AY140" s="673"/>
    </row>
    <row r="141" spans="1:51" ht="12.75" customHeight="1" thickBot="1">
      <c r="A141" s="673"/>
      <c r="B141" s="673"/>
      <c r="C141" s="673"/>
      <c r="D141" s="660"/>
      <c r="E141" s="756"/>
      <c r="F141" s="756"/>
      <c r="G141" s="756"/>
      <c r="H141" s="756"/>
      <c r="I141" s="1019" t="s">
        <v>64</v>
      </c>
      <c r="J141" s="697"/>
      <c r="K141" s="698">
        <f>SUM(K138:K140)</f>
        <v>0</v>
      </c>
      <c r="L141" s="768" t="s">
        <v>65</v>
      </c>
      <c r="M141" s="769">
        <f>M136-SUM(M137:M140)</f>
        <v>8</v>
      </c>
      <c r="N141" s="770"/>
      <c r="O141" s="771" t="s">
        <v>66</v>
      </c>
      <c r="P141" s="699" t="e">
        <f>$AH$5/P138</f>
        <v>#DIV/0!</v>
      </c>
      <c r="Q141" s="663"/>
      <c r="R141" s="663"/>
      <c r="S141" s="663"/>
      <c r="T141" s="663"/>
      <c r="U141" s="663"/>
      <c r="V141" s="756"/>
      <c r="W141" s="663"/>
      <c r="X141" s="663"/>
      <c r="Y141" s="663"/>
      <c r="Z141" s="663"/>
      <c r="AA141" s="663"/>
      <c r="AB141" s="663"/>
      <c r="AC141" s="663"/>
      <c r="AD141" s="663"/>
      <c r="AE141" s="663"/>
      <c r="AF141" s="663"/>
      <c r="AG141" s="663"/>
      <c r="AH141" s="663"/>
      <c r="AI141" s="663"/>
      <c r="AJ141" s="663"/>
      <c r="AK141" s="663"/>
      <c r="AL141" s="663"/>
      <c r="AM141" s="663"/>
      <c r="AN141" s="663"/>
      <c r="AO141" s="673"/>
      <c r="AP141" s="673"/>
      <c r="AQ141" s="673"/>
      <c r="AR141" s="673"/>
      <c r="AS141" s="673"/>
      <c r="AT141" s="673"/>
      <c r="AU141" s="673"/>
      <c r="AV141" s="673"/>
      <c r="AW141" s="673"/>
      <c r="AX141" s="673"/>
      <c r="AY141" s="673"/>
    </row>
    <row r="142" spans="1:51" ht="12.75" customHeight="1">
      <c r="A142" s="673"/>
      <c r="B142" s="673"/>
      <c r="C142" s="673"/>
      <c r="D142" s="660"/>
      <c r="E142" s="756"/>
      <c r="F142" s="756"/>
      <c r="G142" s="756"/>
      <c r="H142" s="756"/>
      <c r="I142" s="663"/>
      <c r="J142" s="663"/>
      <c r="K142" s="663"/>
      <c r="L142" s="772"/>
      <c r="M142" s="773"/>
      <c r="N142" s="774"/>
      <c r="O142" s="772"/>
      <c r="P142" s="775"/>
      <c r="Q142" s="663"/>
      <c r="R142" s="663"/>
      <c r="S142" s="663"/>
      <c r="T142" s="663"/>
      <c r="U142" s="663"/>
      <c r="V142" s="756"/>
      <c r="W142" s="663"/>
      <c r="X142" s="663"/>
      <c r="Y142" s="663"/>
      <c r="Z142" s="663"/>
      <c r="AA142" s="663"/>
      <c r="AB142" s="663"/>
      <c r="AC142" s="663"/>
      <c r="AD142" s="663"/>
      <c r="AE142" s="663"/>
      <c r="AF142" s="663"/>
      <c r="AG142" s="663"/>
      <c r="AH142" s="663"/>
      <c r="AI142" s="663"/>
      <c r="AJ142" s="663"/>
      <c r="AK142" s="663"/>
      <c r="AL142" s="663"/>
      <c r="AM142" s="663"/>
      <c r="AN142" s="663"/>
      <c r="AO142" s="673"/>
      <c r="AP142" s="673"/>
      <c r="AQ142" s="673"/>
      <c r="AR142" s="673"/>
      <c r="AS142" s="673"/>
      <c r="AT142" s="673"/>
      <c r="AU142" s="673"/>
      <c r="AV142" s="673"/>
      <c r="AW142" s="673"/>
      <c r="AX142" s="673"/>
      <c r="AY142" s="673"/>
    </row>
    <row r="143" spans="1:51" s="673" customFormat="1" ht="12.75" customHeight="1">
      <c r="D143" s="663"/>
      <c r="E143" s="756"/>
      <c r="F143" s="756"/>
      <c r="G143" s="756"/>
      <c r="H143" s="756"/>
      <c r="I143" s="1020" t="s">
        <v>121</v>
      </c>
      <c r="J143" s="776" t="e">
        <f>$V$5+J128</f>
        <v>#REF!</v>
      </c>
      <c r="K143" s="777" t="s">
        <v>132</v>
      </c>
      <c r="L143" s="776" t="s">
        <v>123</v>
      </c>
      <c r="M143" s="777" t="s">
        <v>125</v>
      </c>
      <c r="N143" s="776" t="s">
        <v>122</v>
      </c>
      <c r="O143" s="777" t="s">
        <v>124</v>
      </c>
      <c r="P143" s="778"/>
      <c r="Q143" s="663"/>
      <c r="R143" s="663"/>
      <c r="S143" s="663"/>
      <c r="T143" s="663"/>
      <c r="U143" s="663"/>
      <c r="V143" s="756"/>
      <c r="W143" s="663"/>
      <c r="X143" s="663"/>
      <c r="Y143" s="663"/>
      <c r="Z143" s="663"/>
      <c r="AA143" s="663"/>
      <c r="AB143" s="663"/>
      <c r="AC143" s="663"/>
      <c r="AD143" s="663"/>
      <c r="AE143" s="663"/>
      <c r="AF143" s="663"/>
      <c r="AG143" s="663"/>
      <c r="AH143" s="663"/>
      <c r="AI143" s="663"/>
      <c r="AJ143" s="663"/>
      <c r="AK143" s="663"/>
      <c r="AL143" s="663"/>
      <c r="AM143" s="663"/>
      <c r="AN143" s="663"/>
    </row>
    <row r="144" spans="1:51" ht="12.75" customHeight="1">
      <c r="A144" s="673"/>
      <c r="B144" s="673"/>
      <c r="C144" s="673"/>
      <c r="D144" s="660"/>
      <c r="E144" s="756"/>
      <c r="F144" s="756"/>
      <c r="G144" s="756"/>
      <c r="H144" s="756"/>
      <c r="I144" s="1021"/>
      <c r="J144" s="779"/>
      <c r="K144" s="780"/>
      <c r="L144" s="779"/>
      <c r="M144" s="780"/>
      <c r="N144" s="779"/>
      <c r="O144" s="780"/>
      <c r="P144" s="778"/>
      <c r="Q144" s="663"/>
      <c r="R144" s="663"/>
      <c r="S144" s="663"/>
      <c r="T144" s="663"/>
      <c r="U144" s="663"/>
      <c r="V144" s="756"/>
      <c r="W144" s="663"/>
      <c r="X144" s="663"/>
      <c r="Y144" s="663"/>
      <c r="Z144" s="663"/>
      <c r="AA144" s="663"/>
      <c r="AB144" s="663"/>
      <c r="AC144" s="663"/>
      <c r="AD144" s="663"/>
      <c r="AE144" s="663"/>
      <c r="AF144" s="663"/>
      <c r="AG144" s="663"/>
      <c r="AH144" s="663"/>
      <c r="AI144" s="663"/>
      <c r="AJ144" s="663"/>
      <c r="AK144" s="663"/>
      <c r="AL144" s="663"/>
      <c r="AM144" s="663"/>
      <c r="AN144" s="663"/>
      <c r="AO144" s="673"/>
      <c r="AP144" s="673"/>
      <c r="AQ144" s="673"/>
      <c r="AR144" s="673"/>
      <c r="AS144" s="673"/>
      <c r="AT144" s="673"/>
      <c r="AU144" s="673"/>
      <c r="AV144" s="673"/>
      <c r="AW144" s="673"/>
      <c r="AX144" s="673"/>
      <c r="AY144" s="673"/>
    </row>
    <row r="145" spans="1:51" s="673" customFormat="1" ht="12.75" customHeight="1">
      <c r="D145" s="755"/>
      <c r="E145" s="756"/>
      <c r="F145" s="756"/>
      <c r="G145" s="756"/>
      <c r="H145" s="756"/>
      <c r="I145" s="781" t="s">
        <v>127</v>
      </c>
      <c r="J145" s="782" t="e">
        <f>IF($F$18="YES",($J$143*2)/$K$138,IF($F$18="NO",($J$143)/(($K$141-K138)+($K$138/2))))</f>
        <v>#REF!</v>
      </c>
      <c r="K145" s="783">
        <f>$BB$40</f>
        <v>0</v>
      </c>
      <c r="L145" s="784">
        <v>4</v>
      </c>
      <c r="M145" s="785" t="e">
        <f>(J145/$BB$40)/(L145-1)</f>
        <v>#REF!</v>
      </c>
      <c r="N145" s="750">
        <v>12</v>
      </c>
      <c r="O145" s="786" t="e">
        <f>M145/N145</f>
        <v>#REF!</v>
      </c>
      <c r="P145" s="778"/>
      <c r="Q145" s="663"/>
      <c r="R145" s="663"/>
      <c r="S145" s="663"/>
      <c r="T145" s="663"/>
      <c r="U145" s="663"/>
    </row>
    <row r="146" spans="1:51" s="673" customFormat="1" ht="12.75" customHeight="1">
      <c r="D146" s="755"/>
      <c r="E146" s="756"/>
      <c r="F146" s="756"/>
      <c r="G146" s="756"/>
      <c r="H146" s="756"/>
      <c r="I146" s="781" t="s">
        <v>128</v>
      </c>
      <c r="J146" s="782" t="e">
        <f>IF($F$18="YES",($J$143*2)/$K$138,IF($F$18="NO",($J$143)/(($K$141-K138)+($K$138/2))))</f>
        <v>#REF!</v>
      </c>
      <c r="K146" s="787">
        <f>$BB$40</f>
        <v>0</v>
      </c>
      <c r="L146" s="784">
        <v>3</v>
      </c>
      <c r="M146" s="785" t="e">
        <f>(J146/$BB$40)/(L146-1)</f>
        <v>#REF!</v>
      </c>
      <c r="N146" s="750">
        <v>12</v>
      </c>
      <c r="O146" s="786" t="e">
        <f>M146/N146</f>
        <v>#REF!</v>
      </c>
      <c r="P146" s="778"/>
      <c r="Q146" s="663"/>
      <c r="R146" s="663"/>
      <c r="S146" s="663"/>
      <c r="T146" s="663"/>
      <c r="U146" s="663"/>
    </row>
    <row r="147" spans="1:51" s="673" customFormat="1" ht="12.75" customHeight="1" thickBot="1">
      <c r="D147" s="788"/>
      <c r="E147" s="789"/>
      <c r="F147" s="789"/>
      <c r="G147" s="789"/>
      <c r="H147" s="789"/>
      <c r="I147" s="790" t="s">
        <v>126</v>
      </c>
      <c r="J147" s="791">
        <f>IF(AH135=0,0,AH135/BB37)</f>
        <v>0</v>
      </c>
      <c r="K147" s="792" t="e">
        <f>J145*#REF!/1000</f>
        <v>#REF!</v>
      </c>
      <c r="L147" s="793"/>
      <c r="M147" s="794"/>
      <c r="N147" s="794"/>
      <c r="O147" s="795"/>
      <c r="P147" s="796"/>
      <c r="Q147" s="663"/>
      <c r="R147" s="663"/>
      <c r="S147" s="663"/>
      <c r="T147" s="663"/>
      <c r="U147" s="663"/>
    </row>
    <row r="148" spans="1:51" s="673" customFormat="1" ht="12.75" customHeight="1">
      <c r="D148" s="797"/>
      <c r="E148" s="709"/>
      <c r="F148" s="709"/>
      <c r="G148" s="709"/>
      <c r="H148" s="709"/>
      <c r="I148" s="798"/>
      <c r="J148" s="774"/>
      <c r="K148" s="774"/>
      <c r="L148" s="774"/>
      <c r="M148" s="733"/>
      <c r="N148" s="774"/>
      <c r="O148" s="774"/>
      <c r="P148" s="774"/>
      <c r="Q148" s="663"/>
      <c r="R148" s="663"/>
      <c r="S148" s="663"/>
      <c r="T148" s="663"/>
      <c r="U148" s="663"/>
    </row>
    <row r="149" spans="1:51" s="673" customFormat="1" ht="12.75" customHeight="1">
      <c r="A149" s="659"/>
      <c r="B149" s="659"/>
      <c r="C149" s="659"/>
      <c r="D149" s="710"/>
      <c r="E149" s="711"/>
      <c r="F149" s="711"/>
      <c r="G149" s="711"/>
      <c r="H149" s="711"/>
      <c r="I149" s="799" t="s">
        <v>67</v>
      </c>
      <c r="J149" s="800"/>
      <c r="K149" s="801" t="s">
        <v>131</v>
      </c>
      <c r="L149" s="801" t="s">
        <v>40</v>
      </c>
      <c r="M149" s="801" t="s">
        <v>78</v>
      </c>
      <c r="N149" s="801" t="s">
        <v>41</v>
      </c>
      <c r="O149" s="802" t="s">
        <v>79</v>
      </c>
      <c r="P149" s="802" t="s">
        <v>80</v>
      </c>
      <c r="Q149" s="659"/>
      <c r="R149" s="659"/>
      <c r="S149" s="659"/>
      <c r="T149" s="659"/>
      <c r="U149" s="659"/>
      <c r="V149" s="659"/>
      <c r="W149" s="659"/>
      <c r="X149" s="659"/>
      <c r="Y149" s="659"/>
      <c r="Z149" s="659"/>
      <c r="AA149" s="659"/>
      <c r="AB149" s="659"/>
      <c r="AC149" s="659"/>
    </row>
    <row r="150" spans="1:51" s="673" customFormat="1" ht="12.75" customHeight="1">
      <c r="A150" s="659"/>
      <c r="B150" s="659"/>
      <c r="C150" s="659"/>
      <c r="D150" s="803" t="s">
        <v>22</v>
      </c>
      <c r="E150" s="804"/>
      <c r="F150" s="804"/>
      <c r="G150" s="804"/>
      <c r="H150" s="804"/>
      <c r="I150" s="805" t="s">
        <v>68</v>
      </c>
      <c r="J150" s="689"/>
      <c r="K150" s="750">
        <v>13.5</v>
      </c>
      <c r="L150" s="784">
        <v>0</v>
      </c>
      <c r="M150" s="806">
        <f>AO118</f>
        <v>0</v>
      </c>
      <c r="N150" s="751">
        <f>(AO118*K150)*L150</f>
        <v>0</v>
      </c>
      <c r="O150" s="752" t="e">
        <f>N150/$AH$5</f>
        <v>#DIV/0!</v>
      </c>
      <c r="P150" s="752" t="e">
        <f>N150/IF(#REF!=0,$F$6,IF(#REF!&gt;0,#REF!))</f>
        <v>#REF!</v>
      </c>
      <c r="Q150" s="659"/>
      <c r="R150" s="659"/>
      <c r="S150" s="659"/>
      <c r="T150" s="659"/>
      <c r="U150" s="659"/>
      <c r="V150" s="659"/>
      <c r="W150" s="659"/>
      <c r="X150" s="659"/>
      <c r="Y150" s="659"/>
      <c r="Z150" s="659"/>
      <c r="AA150" s="659"/>
      <c r="AB150" s="659"/>
      <c r="AC150" s="659"/>
      <c r="AD150" s="659"/>
      <c r="AE150" s="659"/>
      <c r="AF150" s="659"/>
      <c r="AG150" s="659"/>
      <c r="AH150" s="659"/>
      <c r="AI150" s="659"/>
      <c r="AJ150" s="659"/>
      <c r="AK150" s="659"/>
      <c r="AL150" s="659"/>
      <c r="AM150" s="659"/>
      <c r="AN150" s="659"/>
      <c r="AO150" s="659"/>
      <c r="AP150" s="659"/>
      <c r="AQ150" s="659"/>
      <c r="AR150" s="659"/>
      <c r="AS150" s="659"/>
      <c r="AT150" s="659"/>
      <c r="AU150" s="659"/>
      <c r="AV150" s="659"/>
      <c r="AW150" s="659"/>
      <c r="AX150" s="659"/>
      <c r="AY150" s="659"/>
    </row>
    <row r="151" spans="1:51" s="673" customFormat="1" ht="12.75" customHeight="1">
      <c r="A151" s="659"/>
      <c r="B151" s="807" t="s">
        <v>118</v>
      </c>
      <c r="C151" s="807"/>
      <c r="D151" s="712" t="s">
        <v>22</v>
      </c>
      <c r="E151" s="713"/>
      <c r="F151" s="713"/>
      <c r="G151" s="713"/>
      <c r="H151" s="713"/>
      <c r="I151" s="805" t="s">
        <v>644</v>
      </c>
      <c r="J151" s="689"/>
      <c r="K151" s="750">
        <f>AW24</f>
        <v>13</v>
      </c>
      <c r="L151" s="750">
        <f>SUM(K138:K140)</f>
        <v>0</v>
      </c>
      <c r="M151" s="806">
        <f>AS118</f>
        <v>0</v>
      </c>
      <c r="N151" s="751">
        <f>(M151*K151)*L151</f>
        <v>0</v>
      </c>
      <c r="O151" s="752" t="e">
        <f>N151/$AH$5</f>
        <v>#DIV/0!</v>
      </c>
      <c r="P151" s="752" t="e">
        <f>N151/IF(#REF!=0,$F$6,IF(#REF!&gt;0,#REF!))</f>
        <v>#REF!</v>
      </c>
      <c r="Q151" s="659"/>
      <c r="R151" s="659"/>
      <c r="S151" s="659"/>
      <c r="T151" s="659"/>
      <c r="U151" s="659"/>
      <c r="V151" s="659"/>
      <c r="W151" s="659"/>
      <c r="X151" s="659"/>
      <c r="Y151" s="659"/>
      <c r="Z151" s="659"/>
      <c r="AA151" s="659"/>
      <c r="AB151" s="659"/>
      <c r="AC151" s="659"/>
      <c r="AD151" s="659"/>
      <c r="AE151" s="659"/>
      <c r="AF151" s="659"/>
      <c r="AG151" s="659"/>
      <c r="AH151" s="659"/>
      <c r="AI151" s="659"/>
      <c r="AJ151" s="659"/>
      <c r="AK151" s="659"/>
      <c r="AL151" s="659"/>
      <c r="AM151" s="659"/>
      <c r="AN151" s="659"/>
      <c r="AO151" s="659"/>
      <c r="AP151" s="659"/>
      <c r="AQ151" s="659"/>
      <c r="AR151" s="659"/>
      <c r="AS151" s="659"/>
      <c r="AT151" s="659"/>
      <c r="AU151" s="659"/>
      <c r="AV151" s="659"/>
      <c r="AW151" s="659"/>
      <c r="AX151" s="659"/>
      <c r="AY151" s="659"/>
    </row>
    <row r="152" spans="1:51" s="673" customFormat="1" ht="12.75" customHeight="1">
      <c r="A152" s="659"/>
      <c r="B152" s="807"/>
      <c r="C152" s="807"/>
      <c r="D152" s="712" t="s">
        <v>22</v>
      </c>
      <c r="E152" s="713"/>
      <c r="F152" s="713"/>
      <c r="G152" s="713"/>
      <c r="H152" s="713"/>
      <c r="I152" s="805" t="s">
        <v>645</v>
      </c>
      <c r="J152" s="689"/>
      <c r="K152" s="808">
        <f>AW25</f>
        <v>0</v>
      </c>
      <c r="L152" s="750">
        <v>0</v>
      </c>
      <c r="M152" s="806" t="e">
        <f>AU118</f>
        <v>#REF!</v>
      </c>
      <c r="N152" s="751" t="e">
        <f>(M152*K152)*L152</f>
        <v>#REF!</v>
      </c>
      <c r="O152" s="752" t="e">
        <f>N152/$AH$5</f>
        <v>#REF!</v>
      </c>
      <c r="P152" s="752" t="e">
        <f>N152/IF(#REF!=0,$F$6,IF(#REF!&gt;0,#REF!))</f>
        <v>#REF!</v>
      </c>
      <c r="Q152" s="659"/>
      <c r="R152" s="659"/>
      <c r="S152" s="659"/>
      <c r="T152" s="659"/>
      <c r="U152" s="659"/>
      <c r="V152" s="659"/>
      <c r="W152" s="659"/>
      <c r="X152" s="659"/>
      <c r="Y152" s="659"/>
      <c r="Z152" s="659"/>
      <c r="AA152" s="659"/>
      <c r="AB152" s="659"/>
      <c r="AC152" s="659"/>
      <c r="AD152" s="659"/>
      <c r="AE152" s="659"/>
      <c r="AF152" s="659"/>
      <c r="AG152" s="659"/>
      <c r="AH152" s="659"/>
      <c r="AI152" s="659"/>
      <c r="AJ152" s="659"/>
      <c r="AK152" s="659"/>
      <c r="AL152" s="659"/>
      <c r="AM152" s="659"/>
      <c r="AN152" s="659"/>
      <c r="AO152" s="659"/>
      <c r="AP152" s="659"/>
      <c r="AQ152" s="659"/>
      <c r="AR152" s="659"/>
      <c r="AS152" s="659"/>
      <c r="AT152" s="659"/>
      <c r="AU152" s="659"/>
      <c r="AV152" s="659"/>
      <c r="AW152" s="659"/>
      <c r="AX152" s="659"/>
      <c r="AY152" s="659"/>
    </row>
    <row r="153" spans="1:51" s="673" customFormat="1" ht="12.75" customHeight="1">
      <c r="A153" s="659"/>
      <c r="B153" s="807"/>
      <c r="C153" s="807"/>
      <c r="D153" s="712" t="s">
        <v>22</v>
      </c>
      <c r="E153" s="713"/>
      <c r="F153" s="713"/>
      <c r="G153" s="713"/>
      <c r="H153" s="713"/>
      <c r="I153" s="805" t="s">
        <v>69</v>
      </c>
      <c r="J153" s="689"/>
      <c r="K153" s="808">
        <f>AW26</f>
        <v>12</v>
      </c>
      <c r="L153" s="784"/>
      <c r="M153" s="806">
        <f>AV118</f>
        <v>0</v>
      </c>
      <c r="N153" s="751">
        <f>(M153*K153)*L153</f>
        <v>0</v>
      </c>
      <c r="O153" s="752" t="e">
        <f>N153/$AH$5</f>
        <v>#DIV/0!</v>
      </c>
      <c r="P153" s="752" t="e">
        <f>N153/IF(#REF!=0,$F$6,IF(#REF!&gt;0,#REF!))</f>
        <v>#REF!</v>
      </c>
      <c r="Q153" s="659"/>
      <c r="R153" s="659"/>
      <c r="S153" s="659"/>
      <c r="T153" s="659"/>
      <c r="U153" s="659"/>
      <c r="V153" s="659"/>
      <c r="W153" s="659"/>
      <c r="X153" s="659"/>
      <c r="Y153" s="659"/>
      <c r="Z153" s="659"/>
      <c r="AA153" s="659"/>
      <c r="AB153" s="659"/>
      <c r="AC153" s="659"/>
      <c r="AD153" s="659"/>
      <c r="AE153" s="659"/>
      <c r="AF153" s="659"/>
      <c r="AG153" s="659"/>
      <c r="AH153" s="659"/>
      <c r="AI153" s="659"/>
      <c r="AJ153" s="659"/>
      <c r="AK153" s="659"/>
      <c r="AL153" s="659"/>
      <c r="AM153" s="659"/>
      <c r="AN153" s="659"/>
      <c r="AO153" s="659"/>
      <c r="AP153" s="659"/>
      <c r="AQ153" s="659"/>
      <c r="AR153" s="659"/>
      <c r="AS153" s="659"/>
      <c r="AT153" s="659"/>
      <c r="AU153" s="659"/>
      <c r="AV153" s="659"/>
      <c r="AW153" s="659"/>
      <c r="AX153" s="659"/>
      <c r="AY153" s="659"/>
    </row>
    <row r="154" spans="1:51" s="673" customFormat="1" ht="12.75" customHeight="1">
      <c r="A154" s="659"/>
      <c r="B154" s="807"/>
      <c r="C154" s="807"/>
      <c r="D154" s="712" t="s">
        <v>22</v>
      </c>
      <c r="E154" s="713"/>
      <c r="F154" s="713"/>
      <c r="G154" s="713"/>
      <c r="H154" s="713"/>
      <c r="I154" s="805" t="s">
        <v>282</v>
      </c>
      <c r="J154" s="689"/>
      <c r="K154" s="808">
        <v>1</v>
      </c>
      <c r="L154" s="750">
        <f>K141</f>
        <v>0</v>
      </c>
      <c r="M154" s="734">
        <v>100</v>
      </c>
      <c r="N154" s="751">
        <f>(M154*K154)*L154</f>
        <v>0</v>
      </c>
      <c r="O154" s="752" t="e">
        <f>N154/$AH$5</f>
        <v>#DIV/0!</v>
      </c>
      <c r="P154" s="752" t="e">
        <f>N154/IF(#REF!=0,$F$6,IF(#REF!&gt;0,#REF!))</f>
        <v>#REF!</v>
      </c>
      <c r="Q154" s="659"/>
      <c r="R154" s="659"/>
      <c r="S154" s="659"/>
      <c r="T154" s="659"/>
      <c r="U154" s="659"/>
      <c r="V154" s="659"/>
      <c r="W154" s="659"/>
      <c r="X154" s="659"/>
      <c r="Y154" s="659"/>
      <c r="Z154" s="659"/>
      <c r="AA154" s="659"/>
      <c r="AB154" s="659"/>
      <c r="AC154" s="659"/>
      <c r="AD154" s="659"/>
      <c r="AE154" s="659"/>
      <c r="AF154" s="659"/>
      <c r="AG154" s="659"/>
      <c r="AH154" s="659"/>
      <c r="AI154" s="659"/>
      <c r="AJ154" s="659"/>
      <c r="AK154" s="659"/>
      <c r="AL154" s="659"/>
      <c r="AM154" s="659"/>
      <c r="AN154" s="659"/>
      <c r="AO154" s="659"/>
      <c r="AP154" s="659"/>
      <c r="AQ154" s="659"/>
      <c r="AR154" s="659"/>
      <c r="AS154" s="659"/>
      <c r="AT154" s="659"/>
      <c r="AU154" s="659"/>
      <c r="AV154" s="659"/>
      <c r="AW154" s="659"/>
      <c r="AX154" s="659"/>
      <c r="AY154" s="659"/>
    </row>
    <row r="155" spans="1:51" ht="12.75" customHeight="1">
      <c r="B155" s="807"/>
      <c r="C155" s="807"/>
      <c r="D155" s="706" t="s">
        <v>84</v>
      </c>
      <c r="E155" s="726"/>
      <c r="F155" s="726"/>
      <c r="G155" s="726"/>
      <c r="H155" s="726"/>
      <c r="I155" s="700"/>
      <c r="J155" s="701"/>
      <c r="K155" s="663"/>
      <c r="L155" s="809"/>
      <c r="M155" s="702"/>
      <c r="N155" s="688" t="e">
        <f>SUM(N150:N154)</f>
        <v>#REF!</v>
      </c>
      <c r="O155" s="688" t="e">
        <f>SUM(O150:O154)</f>
        <v>#DIV/0!</v>
      </c>
      <c r="P155" s="688" t="e">
        <f>SUM(P150:P154)</f>
        <v>#REF!</v>
      </c>
    </row>
    <row r="156" spans="1:51" ht="12.75" customHeight="1">
      <c r="B156" s="807"/>
      <c r="C156" s="807"/>
      <c r="D156" s="708"/>
      <c r="E156" s="726"/>
      <c r="F156" s="726"/>
      <c r="G156" s="726"/>
      <c r="H156" s="726"/>
      <c r="I156" s="700"/>
      <c r="J156" s="663"/>
      <c r="K156" s="663"/>
      <c r="L156" s="663"/>
      <c r="M156" s="703"/>
      <c r="N156" s="704"/>
      <c r="O156" s="705"/>
      <c r="P156" s="705"/>
    </row>
    <row r="157" spans="1:51" ht="12.75" customHeight="1">
      <c r="A157" s="673"/>
      <c r="B157" s="807"/>
      <c r="C157" s="807"/>
      <c r="D157" s="710"/>
      <c r="E157" s="711"/>
      <c r="F157" s="711"/>
      <c r="G157" s="711"/>
      <c r="H157" s="711"/>
      <c r="I157" s="810" t="s">
        <v>167</v>
      </c>
      <c r="J157" s="811"/>
      <c r="K157" s="748" t="s">
        <v>147</v>
      </c>
      <c r="L157" s="748" t="s">
        <v>148</v>
      </c>
      <c r="M157" s="748" t="s">
        <v>119</v>
      </c>
      <c r="N157" s="748" t="s">
        <v>41</v>
      </c>
      <c r="O157" s="749" t="s">
        <v>96</v>
      </c>
      <c r="P157" s="749" t="s">
        <v>80</v>
      </c>
      <c r="Q157" s="673"/>
      <c r="R157" s="673"/>
      <c r="S157" s="663"/>
      <c r="T157" s="663"/>
      <c r="U157" s="663"/>
      <c r="V157" s="673"/>
      <c r="W157" s="673"/>
      <c r="X157" s="673"/>
      <c r="Y157" s="673"/>
      <c r="Z157" s="673"/>
      <c r="AA157" s="673"/>
      <c r="AB157" s="673"/>
      <c r="AC157" s="673"/>
    </row>
    <row r="158" spans="1:51" ht="12.75" customHeight="1">
      <c r="A158" s="673"/>
      <c r="B158" s="812"/>
      <c r="C158" s="812"/>
      <c r="D158" s="739" t="s">
        <v>22</v>
      </c>
      <c r="E158" s="813"/>
      <c r="F158" s="813"/>
      <c r="G158" s="813"/>
      <c r="H158" s="813"/>
      <c r="I158" s="814" t="s">
        <v>155</v>
      </c>
      <c r="J158" s="815" t="s">
        <v>120</v>
      </c>
      <c r="K158" s="816"/>
      <c r="L158" s="806"/>
      <c r="M158" s="817" t="s">
        <v>156</v>
      </c>
      <c r="N158" s="751">
        <f>K158*L158</f>
        <v>0</v>
      </c>
      <c r="O158" s="752" t="e">
        <f>N158/$AH$5</f>
        <v>#DIV/0!</v>
      </c>
      <c r="P158" s="752" t="e">
        <f>N158/IF(#REF!=0,$F$6,IF(#REF!&gt;0,#REF!))</f>
        <v>#REF!</v>
      </c>
      <c r="Q158" s="673"/>
      <c r="R158" s="673"/>
      <c r="S158" s="663"/>
      <c r="T158" s="663"/>
      <c r="U158" s="663"/>
      <c r="V158" s="673"/>
      <c r="W158" s="673"/>
      <c r="X158" s="673"/>
      <c r="Y158" s="673"/>
      <c r="Z158" s="673"/>
      <c r="AA158" s="673"/>
      <c r="AB158" s="673"/>
      <c r="AC158" s="673"/>
      <c r="AD158" s="673"/>
      <c r="AE158" s="673"/>
      <c r="AF158" s="673"/>
      <c r="AG158" s="673"/>
      <c r="AH158" s="673"/>
      <c r="AI158" s="673"/>
      <c r="AJ158" s="673"/>
      <c r="AK158" s="673"/>
      <c r="AL158" s="673"/>
      <c r="AM158" s="673"/>
      <c r="AN158" s="673"/>
      <c r="AO158" s="673"/>
      <c r="AP158" s="673"/>
      <c r="AQ158" s="673"/>
      <c r="AR158" s="673"/>
      <c r="AS158" s="673"/>
      <c r="AT158" s="673"/>
      <c r="AU158" s="673"/>
      <c r="AV158" s="673"/>
      <c r="AW158" s="673"/>
      <c r="AX158" s="673"/>
      <c r="AY158" s="673"/>
    </row>
    <row r="159" spans="1:51" ht="12.75" customHeight="1">
      <c r="B159" s="818">
        <f>IF(K141=0,0,K159/$K$141)</f>
        <v>0</v>
      </c>
      <c r="C159" s="818"/>
      <c r="D159" s="739" t="s">
        <v>22</v>
      </c>
      <c r="E159" s="813"/>
      <c r="F159" s="813"/>
      <c r="G159" s="813"/>
      <c r="H159" s="813"/>
      <c r="I159" s="814" t="s">
        <v>70</v>
      </c>
      <c r="J159" s="815" t="s">
        <v>170</v>
      </c>
      <c r="K159" s="819" t="e">
        <f>J143</f>
        <v>#REF!</v>
      </c>
      <c r="L159" s="820">
        <v>0</v>
      </c>
      <c r="M159" s="821"/>
      <c r="N159" s="751" t="e">
        <f>K159*L159</f>
        <v>#REF!</v>
      </c>
      <c r="O159" s="752" t="e">
        <f>N159/$V$5</f>
        <v>#REF!</v>
      </c>
      <c r="P159" s="752" t="e">
        <f>N159/IF(#REF!=0,$F$6,IF(#REF!&gt;0,#REF!))</f>
        <v>#REF!</v>
      </c>
      <c r="S159" s="727"/>
      <c r="T159" s="727"/>
      <c r="U159" s="727"/>
      <c r="AD159" s="673"/>
      <c r="AE159" s="673"/>
      <c r="AF159" s="673"/>
      <c r="AG159" s="673"/>
      <c r="AH159" s="673"/>
      <c r="AI159" s="673"/>
      <c r="AJ159" s="673"/>
      <c r="AK159" s="673"/>
      <c r="AL159" s="673"/>
      <c r="AM159" s="673"/>
      <c r="AN159" s="673"/>
      <c r="AO159" s="673"/>
      <c r="AP159" s="673"/>
      <c r="AQ159" s="673"/>
      <c r="AR159" s="673"/>
      <c r="AS159" s="673"/>
      <c r="AT159" s="673"/>
      <c r="AU159" s="673"/>
      <c r="AV159" s="673"/>
      <c r="AW159" s="673"/>
      <c r="AX159" s="673"/>
      <c r="AY159" s="673"/>
    </row>
    <row r="160" spans="1:51" ht="12.75" customHeight="1">
      <c r="D160" s="739" t="s">
        <v>22</v>
      </c>
      <c r="E160" s="813"/>
      <c r="F160" s="813"/>
      <c r="G160" s="813"/>
      <c r="H160" s="813"/>
      <c r="I160" s="814" t="s">
        <v>114</v>
      </c>
      <c r="J160" s="822"/>
      <c r="K160" s="823">
        <v>2</v>
      </c>
      <c r="L160" s="734">
        <v>0</v>
      </c>
      <c r="M160" s="824">
        <f>K141</f>
        <v>0</v>
      </c>
      <c r="N160" s="751">
        <f>K160*L160*M160</f>
        <v>0</v>
      </c>
      <c r="O160" s="752">
        <f>N160/$V$5</f>
        <v>0</v>
      </c>
      <c r="P160" s="752" t="e">
        <f>N160/IF(#REF!=0,$F$6,IF(#REF!&gt;0,#REF!))</f>
        <v>#REF!</v>
      </c>
      <c r="S160" s="727"/>
      <c r="T160" s="727"/>
      <c r="U160" s="727"/>
    </row>
    <row r="161" spans="1:51" ht="12.75" customHeight="1">
      <c r="A161" s="673"/>
      <c r="B161" s="673"/>
      <c r="C161" s="673"/>
      <c r="D161" s="739" t="s">
        <v>22</v>
      </c>
      <c r="E161" s="813"/>
      <c r="F161" s="813"/>
      <c r="G161" s="813"/>
      <c r="H161" s="813"/>
      <c r="I161" s="814" t="s">
        <v>160</v>
      </c>
      <c r="J161" s="822"/>
      <c r="K161" s="825">
        <v>0</v>
      </c>
      <c r="L161" s="734">
        <v>300</v>
      </c>
      <c r="M161" s="826">
        <f>L151</f>
        <v>0</v>
      </c>
      <c r="N161" s="751">
        <f>K161*L161*M161</f>
        <v>0</v>
      </c>
      <c r="O161" s="752" t="e">
        <f>N161/$AH$5</f>
        <v>#DIV/0!</v>
      </c>
      <c r="P161" s="752" t="e">
        <f>N161/IF(#REF!=0,$F$6,IF(#REF!&gt;0,$F$6))</f>
        <v>#REF!</v>
      </c>
      <c r="Q161" s="673"/>
      <c r="R161" s="673"/>
      <c r="S161" s="663"/>
      <c r="T161" s="663"/>
      <c r="U161" s="663"/>
      <c r="V161" s="673"/>
      <c r="W161" s="673"/>
      <c r="X161" s="673"/>
      <c r="Y161" s="673"/>
      <c r="Z161" s="673"/>
      <c r="AA161" s="673"/>
      <c r="AB161" s="673"/>
      <c r="AC161" s="673"/>
    </row>
    <row r="162" spans="1:51" ht="12.75" customHeight="1">
      <c r="A162" s="673"/>
      <c r="B162" s="673"/>
      <c r="C162" s="673"/>
      <c r="D162" s="723"/>
      <c r="E162" s="723"/>
      <c r="F162" s="723"/>
      <c r="G162" s="723"/>
      <c r="H162" s="723"/>
      <c r="I162" s="700"/>
      <c r="J162" s="723"/>
      <c r="K162" s="723"/>
      <c r="L162" s="827"/>
      <c r="M162" s="663"/>
      <c r="N162" s="688" t="e">
        <f>SUM(N158:N161)</f>
        <v>#REF!</v>
      </c>
      <c r="O162" s="688" t="e">
        <f>N162/AH5</f>
        <v>#REF!</v>
      </c>
      <c r="P162" s="688" t="e">
        <f>N162/F6</f>
        <v>#REF!</v>
      </c>
      <c r="Q162" s="673"/>
      <c r="R162" s="673"/>
      <c r="S162" s="673"/>
      <c r="T162" s="673"/>
      <c r="U162" s="673"/>
      <c r="V162" s="673"/>
      <c r="W162" s="673"/>
      <c r="X162" s="673"/>
      <c r="Y162" s="673"/>
      <c r="Z162" s="673"/>
      <c r="AA162" s="673"/>
      <c r="AB162" s="673"/>
      <c r="AC162" s="673"/>
      <c r="AD162" s="673"/>
      <c r="AE162" s="673"/>
      <c r="AF162" s="673"/>
      <c r="AG162" s="673"/>
      <c r="AH162" s="673"/>
      <c r="AI162" s="673"/>
      <c r="AJ162" s="673"/>
      <c r="AK162" s="673"/>
      <c r="AL162" s="673"/>
      <c r="AM162" s="673"/>
      <c r="AN162" s="673"/>
      <c r="AO162" s="673"/>
      <c r="AP162" s="673"/>
      <c r="AQ162" s="673"/>
      <c r="AR162" s="673"/>
      <c r="AS162" s="673"/>
      <c r="AT162" s="673"/>
      <c r="AU162" s="673"/>
      <c r="AV162" s="673"/>
      <c r="AW162" s="673"/>
      <c r="AX162" s="673"/>
      <c r="AY162" s="673"/>
    </row>
    <row r="163" spans="1:51" s="673" customFormat="1" ht="12.75" customHeight="1">
      <c r="A163" s="659"/>
      <c r="B163" s="660"/>
      <c r="C163" s="660"/>
      <c r="D163" s="663"/>
      <c r="E163" s="663"/>
      <c r="F163" s="663"/>
      <c r="G163" s="663"/>
      <c r="H163" s="663"/>
      <c r="I163" s="668"/>
      <c r="J163" s="659"/>
      <c r="K163" s="659"/>
      <c r="L163" s="659"/>
      <c r="M163" s="659"/>
      <c r="N163" s="659"/>
      <c r="O163" s="666"/>
      <c r="P163" s="666"/>
      <c r="Q163" s="659"/>
      <c r="R163" s="659"/>
      <c r="S163" s="659"/>
      <c r="T163" s="659"/>
      <c r="U163" s="659"/>
      <c r="V163" s="659"/>
      <c r="W163" s="659"/>
      <c r="X163" s="659"/>
      <c r="Y163" s="659"/>
      <c r="Z163" s="659"/>
      <c r="AA163" s="659"/>
      <c r="AB163" s="659"/>
      <c r="AC163" s="659"/>
    </row>
    <row r="164" spans="1:51" s="673" customFormat="1" ht="12.75" customHeight="1">
      <c r="A164" s="659"/>
      <c r="B164" s="659"/>
      <c r="C164" s="659"/>
      <c r="D164" s="706" t="s">
        <v>93</v>
      </c>
      <c r="E164" s="707"/>
      <c r="F164" s="707"/>
      <c r="G164" s="707"/>
      <c r="H164" s="707"/>
      <c r="I164" s="828" t="s">
        <v>94</v>
      </c>
      <c r="J164" s="829"/>
      <c r="K164" s="829"/>
      <c r="L164" s="829"/>
      <c r="M164" s="829"/>
      <c r="N164" s="829"/>
      <c r="O164" s="829"/>
      <c r="P164" s="830"/>
      <c r="Q164" s="659"/>
      <c r="R164" s="659"/>
      <c r="S164" s="659"/>
      <c r="T164" s="659"/>
      <c r="U164" s="659"/>
      <c r="V164" s="659"/>
      <c r="W164" s="659"/>
      <c r="X164" s="659"/>
      <c r="Y164" s="659"/>
      <c r="Z164" s="659"/>
      <c r="AA164" s="659"/>
      <c r="AB164" s="659"/>
      <c r="AC164" s="659"/>
      <c r="AD164" s="659"/>
      <c r="AE164" s="659"/>
      <c r="AF164" s="659"/>
      <c r="AG164" s="659"/>
      <c r="AH164" s="659"/>
      <c r="AI164" s="659"/>
      <c r="AJ164" s="659"/>
      <c r="AK164" s="659"/>
      <c r="AL164" s="659"/>
      <c r="AM164" s="659"/>
      <c r="AN164" s="659"/>
      <c r="AO164" s="659"/>
      <c r="AP164" s="659"/>
      <c r="AQ164" s="659"/>
      <c r="AR164" s="659"/>
      <c r="AS164" s="659"/>
      <c r="AT164" s="659"/>
      <c r="AU164" s="659"/>
      <c r="AV164" s="659"/>
      <c r="AW164" s="659"/>
      <c r="AX164" s="659"/>
      <c r="AY164" s="659"/>
    </row>
    <row r="165" spans="1:51" ht="12.75" customHeight="1">
      <c r="D165" s="708"/>
      <c r="E165" s="709"/>
      <c r="F165" s="709"/>
      <c r="G165" s="709"/>
      <c r="H165" s="709"/>
      <c r="I165" s="831"/>
      <c r="J165" s="832"/>
      <c r="K165" s="832"/>
      <c r="L165" s="832"/>
      <c r="M165" s="832"/>
      <c r="N165" s="832"/>
      <c r="O165" s="832"/>
      <c r="P165" s="833"/>
    </row>
    <row r="166" spans="1:51" ht="12.75" customHeight="1">
      <c r="D166" s="708"/>
      <c r="E166" s="709"/>
      <c r="F166" s="709"/>
      <c r="G166" s="709"/>
      <c r="H166" s="709"/>
      <c r="I166" s="828" t="s">
        <v>91</v>
      </c>
      <c r="J166" s="829"/>
      <c r="K166" s="830"/>
      <c r="L166" s="834" t="s">
        <v>92</v>
      </c>
      <c r="M166" s="834" t="s">
        <v>142</v>
      </c>
      <c r="N166" s="834" t="s">
        <v>168</v>
      </c>
      <c r="O166" s="834" t="s">
        <v>169</v>
      </c>
      <c r="P166" s="834" t="s">
        <v>152</v>
      </c>
    </row>
    <row r="167" spans="1:51" s="673" customFormat="1" ht="12.75" customHeight="1">
      <c r="A167" s="659"/>
      <c r="B167" s="659"/>
      <c r="C167" s="659"/>
      <c r="D167" s="710"/>
      <c r="E167" s="711"/>
      <c r="F167" s="711"/>
      <c r="G167" s="711"/>
      <c r="H167" s="711"/>
      <c r="I167" s="831"/>
      <c r="J167" s="832"/>
      <c r="K167" s="833"/>
      <c r="L167" s="835"/>
      <c r="M167" s="835"/>
      <c r="N167" s="835"/>
      <c r="O167" s="835"/>
      <c r="P167" s="835"/>
      <c r="Q167" s="659"/>
      <c r="R167" s="659"/>
      <c r="S167" s="659"/>
      <c r="T167" s="659"/>
      <c r="U167" s="659"/>
      <c r="V167" s="659"/>
      <c r="W167" s="659"/>
      <c r="X167" s="659"/>
      <c r="Y167" s="659"/>
      <c r="Z167" s="659"/>
      <c r="AA167" s="659"/>
      <c r="AB167" s="659"/>
      <c r="AC167" s="659"/>
      <c r="AD167" s="659"/>
      <c r="AE167" s="659"/>
      <c r="AF167" s="659"/>
      <c r="AG167" s="659"/>
      <c r="AH167" s="659"/>
      <c r="AI167" s="659"/>
      <c r="AJ167" s="659"/>
      <c r="AK167" s="659"/>
      <c r="AL167" s="659"/>
      <c r="AM167" s="659"/>
      <c r="AN167" s="659"/>
      <c r="AO167" s="659"/>
      <c r="AP167" s="659"/>
      <c r="AQ167" s="659"/>
      <c r="AR167" s="659"/>
      <c r="AS167" s="659"/>
      <c r="AT167" s="659"/>
      <c r="AU167" s="659"/>
      <c r="AV167" s="659"/>
      <c r="AW167" s="659"/>
      <c r="AX167" s="659"/>
      <c r="AY167" s="659"/>
    </row>
    <row r="168" spans="1:51" s="673" customFormat="1" ht="12.75" customHeight="1">
      <c r="A168" s="659"/>
      <c r="B168" s="659"/>
      <c r="C168" s="659"/>
      <c r="D168" s="712" t="s">
        <v>22</v>
      </c>
      <c r="E168" s="713"/>
      <c r="F168" s="713"/>
      <c r="G168" s="713"/>
      <c r="H168" s="713"/>
      <c r="I168" s="805" t="s">
        <v>158</v>
      </c>
      <c r="J168" s="836"/>
      <c r="K168" s="689"/>
      <c r="L168" s="837">
        <f>N127</f>
        <v>0</v>
      </c>
      <c r="M168" s="838" t="e">
        <f>L168/$L$175</f>
        <v>#REF!</v>
      </c>
      <c r="N168" s="837">
        <f>L168/$V$5</f>
        <v>0</v>
      </c>
      <c r="O168" s="837" t="e">
        <f>L168/$AH$5</f>
        <v>#DIV/0!</v>
      </c>
      <c r="P168" s="839" t="e">
        <f>L168/$AH$1</f>
        <v>#DIV/0!</v>
      </c>
      <c r="Q168" s="659"/>
      <c r="R168" s="659"/>
      <c r="S168" s="659"/>
      <c r="T168" s="659"/>
      <c r="U168" s="659"/>
      <c r="V168" s="659"/>
      <c r="W168" s="659"/>
      <c r="X168" s="659"/>
      <c r="Y168" s="659"/>
      <c r="Z168" s="659"/>
      <c r="AA168" s="659"/>
      <c r="AB168" s="659"/>
      <c r="AC168" s="659"/>
      <c r="AD168" s="659"/>
      <c r="AE168" s="659"/>
      <c r="AF168" s="659"/>
      <c r="AG168" s="659"/>
      <c r="AH168" s="659"/>
      <c r="AI168" s="659"/>
      <c r="AJ168" s="659"/>
      <c r="AK168" s="659"/>
      <c r="AL168" s="659"/>
      <c r="AM168" s="659"/>
      <c r="AN168" s="659"/>
      <c r="AO168" s="659"/>
      <c r="AP168" s="659"/>
      <c r="AQ168" s="659"/>
      <c r="AR168" s="659"/>
      <c r="AS168" s="659"/>
      <c r="AT168" s="659"/>
      <c r="AU168" s="659"/>
      <c r="AV168" s="659"/>
      <c r="AW168" s="659"/>
      <c r="AX168" s="659"/>
      <c r="AY168" s="659"/>
    </row>
    <row r="169" spans="1:51" ht="12.75" customHeight="1">
      <c r="D169" s="712" t="s">
        <v>22</v>
      </c>
      <c r="E169" s="713"/>
      <c r="F169" s="713"/>
      <c r="G169" s="713"/>
      <c r="H169" s="713"/>
      <c r="I169" s="805" t="s">
        <v>88</v>
      </c>
      <c r="J169" s="836"/>
      <c r="K169" s="689"/>
      <c r="L169" s="840" t="e">
        <f>SUM(N151:N154)</f>
        <v>#REF!</v>
      </c>
      <c r="M169" s="838" t="e">
        <f>L169/$L$175</f>
        <v>#REF!</v>
      </c>
      <c r="N169" s="837" t="e">
        <f>L169/$V$5</f>
        <v>#REF!</v>
      </c>
      <c r="O169" s="837" t="e">
        <f>L169/$AH$5</f>
        <v>#REF!</v>
      </c>
      <c r="P169" s="839" t="e">
        <f>L169/$AH$1</f>
        <v>#REF!</v>
      </c>
    </row>
    <row r="170" spans="1:51" ht="12.75" customHeight="1">
      <c r="D170" s="712" t="s">
        <v>22</v>
      </c>
      <c r="E170" s="713"/>
      <c r="F170" s="713"/>
      <c r="G170" s="713"/>
      <c r="H170" s="713"/>
      <c r="I170" s="805" t="s">
        <v>159</v>
      </c>
      <c r="J170" s="836"/>
      <c r="K170" s="689"/>
      <c r="L170" s="837">
        <f>N150</f>
        <v>0</v>
      </c>
      <c r="M170" s="838" t="e">
        <f>L170/$L$175</f>
        <v>#REF!</v>
      </c>
      <c r="N170" s="837">
        <f>L170/$V$5</f>
        <v>0</v>
      </c>
      <c r="O170" s="837" t="e">
        <f>L170/$AH$5</f>
        <v>#DIV/0!</v>
      </c>
      <c r="P170" s="839" t="e">
        <f>L170/$AH$1</f>
        <v>#DIV/0!</v>
      </c>
    </row>
    <row r="171" spans="1:51" ht="12.75" customHeight="1">
      <c r="D171" s="712" t="s">
        <v>22</v>
      </c>
      <c r="E171" s="713"/>
      <c r="F171" s="713"/>
      <c r="G171" s="713"/>
      <c r="H171" s="713"/>
      <c r="I171" s="805" t="s">
        <v>89</v>
      </c>
      <c r="J171" s="836"/>
      <c r="K171" s="689"/>
      <c r="L171" s="837" t="e">
        <f>N159</f>
        <v>#REF!</v>
      </c>
      <c r="M171" s="838" t="e">
        <f>L171/$L$175</f>
        <v>#REF!</v>
      </c>
      <c r="N171" s="837" t="e">
        <f>L171/$V$5</f>
        <v>#REF!</v>
      </c>
      <c r="O171" s="837" t="e">
        <f>L171/$AH$5</f>
        <v>#REF!</v>
      </c>
      <c r="P171" s="839" t="e">
        <f>L171/$AH$1</f>
        <v>#REF!</v>
      </c>
    </row>
    <row r="172" spans="1:51" ht="12.75" customHeight="1" thickBot="1">
      <c r="D172" s="712" t="s">
        <v>22</v>
      </c>
      <c r="E172" s="713"/>
      <c r="F172" s="713"/>
      <c r="G172" s="713"/>
      <c r="H172" s="713"/>
      <c r="I172" s="805" t="s">
        <v>90</v>
      </c>
      <c r="J172" s="836"/>
      <c r="K172" s="689"/>
      <c r="L172" s="841">
        <f>SUM(N160:N161)</f>
        <v>0</v>
      </c>
      <c r="M172" s="838" t="e">
        <f>L172/$L$175</f>
        <v>#REF!</v>
      </c>
      <c r="N172" s="837">
        <f>L172/$V$5</f>
        <v>0</v>
      </c>
      <c r="O172" s="837" t="e">
        <f>L172/$AH$5</f>
        <v>#DIV/0!</v>
      </c>
      <c r="P172" s="839" t="e">
        <f>L172/$AH$1</f>
        <v>#DIV/0!</v>
      </c>
    </row>
    <row r="173" spans="1:51" ht="12.75" customHeight="1" thickTop="1">
      <c r="I173" s="842"/>
      <c r="J173" s="660"/>
      <c r="K173" s="843"/>
      <c r="L173" s="843" t="e">
        <f>SUM(L168:L172)</f>
        <v>#REF!</v>
      </c>
      <c r="M173" s="844" t="e">
        <f>SUM(M168:M172)</f>
        <v>#REF!</v>
      </c>
      <c r="N173" s="845" t="e">
        <f>SUM(N168:N172)</f>
        <v>#REF!</v>
      </c>
      <c r="O173" s="845" t="e">
        <f>SUM(O168:O172)</f>
        <v>#DIV/0!</v>
      </c>
      <c r="P173" s="845" t="e">
        <f>SUM(P168:P172)</f>
        <v>#DIV/0!</v>
      </c>
    </row>
    <row r="174" spans="1:51" ht="12.75" customHeight="1" thickBot="1">
      <c r="I174" s="660" t="s">
        <v>157</v>
      </c>
      <c r="J174" s="660"/>
      <c r="K174" s="846"/>
      <c r="L174" s="847" t="e">
        <f>L173*K174</f>
        <v>#REF!</v>
      </c>
      <c r="M174" s="848"/>
      <c r="N174" s="849"/>
      <c r="O174" s="849"/>
      <c r="P174" s="849"/>
    </row>
    <row r="175" spans="1:51" ht="12.75" customHeight="1" thickBot="1">
      <c r="L175" s="850" t="e">
        <f>SUM(L173:L174)</f>
        <v>#REF!</v>
      </c>
      <c r="M175" s="851"/>
      <c r="N175" s="850"/>
      <c r="O175" s="850" t="e">
        <f>O173</f>
        <v>#DIV/0!</v>
      </c>
      <c r="P175" s="850" t="e">
        <f>P173</f>
        <v>#DIV/0!</v>
      </c>
    </row>
    <row r="176" spans="1:51" ht="12.75" customHeight="1" thickTop="1" thickBot="1">
      <c r="I176" s="852" t="s">
        <v>72</v>
      </c>
      <c r="J176" s="853"/>
      <c r="K176" s="853"/>
      <c r="L176" s="854"/>
      <c r="M176" s="852" t="s">
        <v>72</v>
      </c>
      <c r="N176" s="853"/>
      <c r="O176" s="853"/>
      <c r="P176" s="854"/>
    </row>
    <row r="177" spans="1:51" ht="12.75" customHeight="1" thickTop="1" thickBot="1">
      <c r="A177" s="660"/>
      <c r="B177" s="673"/>
      <c r="C177" s="673"/>
      <c r="D177" s="673"/>
      <c r="E177" s="673"/>
      <c r="F177" s="673"/>
      <c r="G177" s="673"/>
      <c r="H177" s="673"/>
      <c r="I177" s="714" t="s">
        <v>71</v>
      </c>
      <c r="J177" s="715"/>
      <c r="K177" s="855" t="e">
        <f>L175</f>
        <v>#REF!</v>
      </c>
      <c r="L177" s="856"/>
      <c r="M177" s="857" t="s">
        <v>150</v>
      </c>
      <c r="N177" s="858"/>
      <c r="O177" s="859"/>
      <c r="P177" s="860" t="e">
        <f>SUM(L169:L172)/J143</f>
        <v>#REF!</v>
      </c>
      <c r="Q177" s="861"/>
      <c r="R177" s="660"/>
      <c r="S177" s="660"/>
      <c r="T177" s="660"/>
      <c r="U177" s="660"/>
      <c r="V177" s="660"/>
      <c r="W177" s="660"/>
      <c r="X177" s="660"/>
      <c r="Y177" s="660"/>
      <c r="Z177" s="660"/>
      <c r="AA177" s="660"/>
      <c r="AB177" s="660"/>
      <c r="AC177" s="660"/>
    </row>
    <row r="178" spans="1:51" ht="12.75" customHeight="1" thickTop="1">
      <c r="I178" s="862" t="s">
        <v>73</v>
      </c>
      <c r="J178" s="863" t="s">
        <v>151</v>
      </c>
      <c r="K178" s="864" t="e">
        <f>IF(#REF!&gt;0,"$/SQ. KM","$/KM")</f>
        <v>#REF!</v>
      </c>
      <c r="L178" s="864" t="e">
        <f>IF(#REF!&gt;0,"$/SQ. MILE","$/MILE")</f>
        <v>#REF!</v>
      </c>
      <c r="M178" s="865" t="s">
        <v>146</v>
      </c>
      <c r="N178" s="866"/>
      <c r="O178" s="867"/>
      <c r="P178" s="868" t="e">
        <f>K177/J143</f>
        <v>#REF!</v>
      </c>
      <c r="AD178" s="660"/>
      <c r="AE178" s="660"/>
      <c r="AF178" s="660"/>
      <c r="AG178" s="660"/>
      <c r="AH178" s="660"/>
      <c r="AI178" s="660"/>
      <c r="AJ178" s="660"/>
      <c r="AK178" s="660"/>
      <c r="AL178" s="660"/>
      <c r="AM178" s="660"/>
      <c r="AN178" s="660"/>
      <c r="AO178" s="660"/>
      <c r="AP178" s="660"/>
      <c r="AQ178" s="660"/>
      <c r="AR178" s="660"/>
      <c r="AS178" s="660"/>
      <c r="AT178" s="660"/>
      <c r="AU178" s="660"/>
      <c r="AV178" s="660"/>
      <c r="AW178" s="660"/>
      <c r="AX178" s="660"/>
      <c r="AY178" s="660"/>
    </row>
    <row r="179" spans="1:51" ht="12.75" customHeight="1" thickBot="1">
      <c r="I179" s="869" t="s">
        <v>74</v>
      </c>
      <c r="J179" s="870" t="e">
        <f>K177/$V$5</f>
        <v>#REF!</v>
      </c>
      <c r="K179" s="871" t="e">
        <f>IF(#REF!=0,K177/$F$6,K177/$F$7)</f>
        <v>#REF!</v>
      </c>
      <c r="L179" s="872" t="e">
        <f>IF(#REF!&gt;0,$K$179*2.59,$K$179*1.609)</f>
        <v>#REF!</v>
      </c>
      <c r="M179" s="873" t="s">
        <v>149</v>
      </c>
      <c r="N179" s="874"/>
      <c r="O179" s="875"/>
      <c r="P179" s="876" t="e">
        <f>K177/$AH$5</f>
        <v>#REF!</v>
      </c>
    </row>
    <row r="180" spans="1:51" ht="12.75" customHeight="1" thickTop="1">
      <c r="I180" s="877" t="s">
        <v>75</v>
      </c>
      <c r="J180" s="863" t="s">
        <v>151</v>
      </c>
      <c r="K180" s="864" t="e">
        <f>IF(#REF!&gt;0,"$/SQ. KM","$/KM")</f>
        <v>#REF!</v>
      </c>
      <c r="L180" s="863" t="e">
        <f>IF(#REF!&gt;0,"$/SQ. MILE","$/MILE")</f>
        <v>#REF!</v>
      </c>
      <c r="M180" s="878" t="s">
        <v>153</v>
      </c>
      <c r="N180" s="879"/>
      <c r="O180" s="880">
        <f>L151</f>
        <v>0</v>
      </c>
      <c r="P180" s="881"/>
      <c r="Q180" s="969"/>
    </row>
    <row r="181" spans="1:51" ht="12.75" customHeight="1" thickBot="1">
      <c r="I181" s="882">
        <v>1.1599999999999999</v>
      </c>
      <c r="J181" s="883" t="e">
        <f>J179*$I$181</f>
        <v>#REF!</v>
      </c>
      <c r="K181" s="871" t="e">
        <f>K179*$I$181</f>
        <v>#REF!</v>
      </c>
      <c r="L181" s="883" t="e">
        <f>L179*$I$181</f>
        <v>#REF!</v>
      </c>
      <c r="M181" s="884" t="s">
        <v>154</v>
      </c>
      <c r="N181" s="885"/>
      <c r="O181" s="886">
        <f>(BL104+N174)*O180</f>
        <v>0</v>
      </c>
      <c r="P181" s="887"/>
      <c r="Q181" s="743"/>
    </row>
    <row r="182" spans="1:51" ht="12.75" customHeight="1" thickTop="1" thickBot="1">
      <c r="A182" s="673"/>
      <c r="B182" s="673"/>
      <c r="C182" s="673"/>
      <c r="D182" s="673"/>
      <c r="E182" s="673"/>
      <c r="F182" s="673"/>
      <c r="G182" s="673"/>
      <c r="H182" s="673"/>
      <c r="I182" s="888" t="s">
        <v>162</v>
      </c>
      <c r="J182" s="889"/>
      <c r="K182" s="890" t="s">
        <v>163</v>
      </c>
      <c r="L182" s="891"/>
      <c r="M182" s="892" t="e">
        <f>O181/K177</f>
        <v>#REF!</v>
      </c>
      <c r="N182" s="893" t="s">
        <v>164</v>
      </c>
      <c r="O182" s="894"/>
      <c r="P182" s="895" t="e">
        <f>O181/SUM(L168:L170)</f>
        <v>#REF!</v>
      </c>
      <c r="Q182" s="743"/>
      <c r="R182" s="673"/>
      <c r="S182" s="673"/>
      <c r="T182" s="673"/>
      <c r="U182" s="673"/>
      <c r="V182" s="673"/>
      <c r="W182" s="673"/>
      <c r="X182" s="673"/>
      <c r="Y182" s="673"/>
      <c r="Z182" s="673"/>
      <c r="AA182" s="673"/>
      <c r="AB182" s="673"/>
      <c r="AC182" s="673"/>
    </row>
    <row r="183" spans="1:51" s="660" customFormat="1" ht="12.75" customHeight="1" thickTop="1">
      <c r="A183" s="659"/>
      <c r="B183" s="659"/>
      <c r="C183" s="659"/>
      <c r="D183" s="659"/>
      <c r="E183" s="659"/>
      <c r="F183" s="659"/>
      <c r="G183" s="659"/>
      <c r="H183" s="659"/>
      <c r="I183" s="668"/>
      <c r="J183" s="659"/>
      <c r="K183" s="659"/>
      <c r="L183" s="659"/>
      <c r="M183" s="659"/>
      <c r="N183" s="659"/>
      <c r="O183" s="666"/>
      <c r="P183" s="666"/>
      <c r="Q183" s="659"/>
      <c r="R183" s="659"/>
      <c r="S183" s="659"/>
      <c r="T183" s="659"/>
      <c r="U183" s="659"/>
      <c r="V183" s="659"/>
      <c r="W183" s="659"/>
      <c r="X183" s="659"/>
      <c r="Y183" s="659"/>
      <c r="Z183" s="659"/>
      <c r="AA183" s="659"/>
      <c r="AB183" s="659"/>
      <c r="AC183" s="659"/>
      <c r="AD183" s="673"/>
      <c r="AE183" s="673"/>
      <c r="AF183" s="673"/>
      <c r="AG183" s="673"/>
      <c r="AH183" s="673"/>
      <c r="AI183" s="673"/>
      <c r="AJ183" s="673"/>
      <c r="AK183" s="673"/>
      <c r="AL183" s="673"/>
      <c r="AM183" s="673"/>
      <c r="AN183" s="673"/>
      <c r="AO183" s="673"/>
      <c r="AP183" s="673"/>
      <c r="AQ183" s="673"/>
      <c r="AR183" s="673"/>
      <c r="AS183" s="673"/>
      <c r="AT183" s="673"/>
      <c r="AU183" s="673"/>
      <c r="AV183" s="673"/>
      <c r="AW183" s="673"/>
      <c r="AX183" s="673"/>
      <c r="AY183" s="673"/>
    </row>
    <row r="184" spans="1:51" ht="12.75" customHeight="1" thickBot="1">
      <c r="A184" s="896"/>
      <c r="B184" s="896"/>
      <c r="C184" s="896"/>
      <c r="D184" s="896"/>
      <c r="E184" s="896"/>
      <c r="F184" s="896"/>
      <c r="G184" s="896"/>
      <c r="H184" s="896"/>
      <c r="I184" s="897" t="s">
        <v>180</v>
      </c>
      <c r="J184" s="896"/>
      <c r="K184" s="897"/>
      <c r="L184" s="897"/>
      <c r="M184" s="897"/>
      <c r="N184" s="897"/>
      <c r="O184" s="897"/>
      <c r="P184" s="897"/>
      <c r="Q184" s="896"/>
      <c r="R184" s="896"/>
      <c r="S184" s="896"/>
      <c r="T184" s="896"/>
      <c r="U184" s="896"/>
      <c r="V184" s="896"/>
      <c r="W184" s="896"/>
      <c r="X184" s="896"/>
      <c r="Y184" s="896"/>
      <c r="Z184" s="896"/>
      <c r="AA184" s="896"/>
      <c r="AB184" s="896"/>
      <c r="AC184" s="896"/>
    </row>
    <row r="185" spans="1:51" ht="12.75" customHeight="1" thickTop="1" thickBot="1">
      <c r="A185" s="896"/>
      <c r="B185" s="668" t="str">
        <f>E1</f>
        <v>CLIENT:</v>
      </c>
      <c r="C185" s="668"/>
      <c r="D185" s="659" t="e">
        <f>#REF!</f>
        <v>#REF!</v>
      </c>
      <c r="I185" s="703" t="e">
        <f>#REF!</f>
        <v>#REF!</v>
      </c>
      <c r="J185" s="703"/>
      <c r="K185" s="703"/>
      <c r="L185" s="682" t="str">
        <f>E3</f>
        <v>LOCATION:</v>
      </c>
      <c r="M185" s="683" t="e">
        <f>#REF!</f>
        <v>#REF!</v>
      </c>
      <c r="N185" s="744" t="str">
        <f>AV24</f>
        <v>DAYSHIFT</v>
      </c>
      <c r="O185" s="745"/>
      <c r="P185" s="718">
        <f>AW24</f>
        <v>13</v>
      </c>
      <c r="Q185" s="896"/>
      <c r="R185" s="896"/>
      <c r="S185" s="896" t="s">
        <v>181</v>
      </c>
      <c r="T185" s="896" t="s">
        <v>182</v>
      </c>
      <c r="U185" s="896" t="s">
        <v>183</v>
      </c>
      <c r="V185" s="896" t="s">
        <v>184</v>
      </c>
      <c r="W185" s="896" t="s">
        <v>185</v>
      </c>
      <c r="X185" s="896" t="s">
        <v>186</v>
      </c>
      <c r="Y185" s="896" t="s">
        <v>187</v>
      </c>
      <c r="Z185" s="896" t="s">
        <v>48</v>
      </c>
      <c r="AA185" s="896"/>
      <c r="AB185" s="896"/>
      <c r="AC185" s="896"/>
      <c r="AD185" s="896"/>
      <c r="AE185" s="896"/>
      <c r="AF185" s="896"/>
      <c r="AG185" s="896"/>
      <c r="AH185" s="896"/>
      <c r="AI185" s="896"/>
      <c r="AJ185" s="896"/>
      <c r="AK185" s="896"/>
      <c r="AL185" s="896"/>
      <c r="AM185" s="896"/>
      <c r="AN185" s="896"/>
      <c r="AO185" s="896"/>
      <c r="AP185" s="896"/>
      <c r="AQ185" s="896"/>
      <c r="AR185" s="896"/>
      <c r="AS185" s="896"/>
      <c r="AT185" s="896"/>
      <c r="AU185" s="896"/>
      <c r="AV185" s="896"/>
      <c r="AW185" s="896"/>
      <c r="AX185" s="896"/>
      <c r="AY185" s="896"/>
    </row>
    <row r="186" spans="1:51" ht="12.75" customHeight="1" thickTop="1" thickBot="1">
      <c r="A186" s="896"/>
      <c r="B186" s="668" t="str">
        <f>E2</f>
        <v>JOBNAME:</v>
      </c>
      <c r="C186" s="668"/>
      <c r="D186" s="659" t="e">
        <f>#REF!</f>
        <v>#REF!</v>
      </c>
      <c r="I186" s="716" t="e">
        <f>#REF!</f>
        <v>#REF!</v>
      </c>
      <c r="J186" s="716"/>
      <c r="K186" s="716"/>
      <c r="L186" s="682" t="str">
        <f>E4</f>
        <v>PROVINCE:</v>
      </c>
      <c r="M186" s="681" t="str">
        <f>F4</f>
        <v>AB</v>
      </c>
      <c r="N186" s="744" t="str">
        <f>AV25</f>
        <v>NIGHTSHIFT</v>
      </c>
      <c r="O186" s="745"/>
      <c r="P186" s="719">
        <f>AW25</f>
        <v>0</v>
      </c>
      <c r="Q186" s="896"/>
      <c r="R186" s="896"/>
      <c r="S186" s="896"/>
      <c r="T186" s="896"/>
      <c r="U186" s="896"/>
      <c r="V186" s="896"/>
      <c r="W186" s="896"/>
      <c r="X186" s="896"/>
      <c r="Y186" s="896"/>
      <c r="Z186" s="896"/>
      <c r="AA186" s="896"/>
      <c r="AB186" s="896"/>
      <c r="AC186" s="896"/>
      <c r="AD186" s="896"/>
      <c r="AE186" s="896"/>
      <c r="AF186" s="896"/>
      <c r="AG186" s="896"/>
      <c r="AH186" s="896"/>
      <c r="AI186" s="896"/>
      <c r="AJ186" s="896"/>
      <c r="AK186" s="896"/>
      <c r="AL186" s="896"/>
      <c r="AM186" s="896"/>
      <c r="AN186" s="896"/>
      <c r="AO186" s="896"/>
      <c r="AP186" s="896"/>
      <c r="AQ186" s="896"/>
      <c r="AR186" s="896"/>
      <c r="AS186" s="896"/>
      <c r="AT186" s="896"/>
      <c r="AU186" s="896"/>
      <c r="AV186" s="896"/>
      <c r="AW186" s="896"/>
      <c r="AX186" s="896"/>
      <c r="AY186" s="896"/>
    </row>
    <row r="187" spans="1:51" ht="12.75" customHeight="1" thickTop="1" thickBot="1">
      <c r="A187" s="896"/>
      <c r="B187" s="668" t="str">
        <f>E5</f>
        <v>DATE:</v>
      </c>
      <c r="C187" s="668"/>
      <c r="D187" s="659" t="e">
        <f>#REF!</f>
        <v>#REF!</v>
      </c>
      <c r="I187" s="684"/>
      <c r="J187" s="684"/>
      <c r="K187" s="659" t="e">
        <f>#REF!</f>
        <v>#REF!</v>
      </c>
      <c r="L187" s="682">
        <f>L3</f>
        <v>0</v>
      </c>
      <c r="M187" s="685" t="e">
        <f>#REF!</f>
        <v>#REF!</v>
      </c>
      <c r="N187" s="744" t="str">
        <f>AV26</f>
        <v xml:space="preserve"> MAX WEATHER/STANDBY</v>
      </c>
      <c r="O187" s="745"/>
      <c r="P187" s="721">
        <f>AW26</f>
        <v>12</v>
      </c>
      <c r="Q187" s="896"/>
      <c r="R187" s="896"/>
      <c r="S187" s="896" t="s">
        <v>188</v>
      </c>
      <c r="T187" s="896" t="s">
        <v>188</v>
      </c>
      <c r="U187" s="896" t="s">
        <v>188</v>
      </c>
      <c r="V187" s="896" t="s">
        <v>188</v>
      </c>
      <c r="W187" s="896" t="s">
        <v>188</v>
      </c>
      <c r="X187" s="896" t="s">
        <v>188</v>
      </c>
      <c r="Y187" s="896" t="s">
        <v>188</v>
      </c>
      <c r="Z187" s="896" t="s">
        <v>188</v>
      </c>
      <c r="AA187" s="896"/>
      <c r="AB187" s="896"/>
      <c r="AC187" s="896"/>
      <c r="AD187" s="896"/>
      <c r="AE187" s="896"/>
      <c r="AF187" s="896"/>
      <c r="AG187" s="896"/>
      <c r="AH187" s="896"/>
      <c r="AI187" s="896"/>
      <c r="AJ187" s="896"/>
      <c r="AK187" s="896"/>
      <c r="AL187" s="896"/>
      <c r="AM187" s="896"/>
      <c r="AN187" s="896"/>
      <c r="AO187" s="896"/>
      <c r="AP187" s="896"/>
      <c r="AQ187" s="896"/>
      <c r="AR187" s="896"/>
      <c r="AS187" s="896"/>
      <c r="AT187" s="896"/>
      <c r="AU187" s="896"/>
      <c r="AV187" s="896"/>
      <c r="AW187" s="896"/>
      <c r="AX187" s="896"/>
      <c r="AY187" s="896"/>
    </row>
    <row r="188" spans="1:51" s="673" customFormat="1" ht="12.75" customHeight="1" thickTop="1">
      <c r="A188" s="896"/>
      <c r="B188" s="659" t="e">
        <f>#REF!</f>
        <v>#REF!</v>
      </c>
      <c r="C188" s="659"/>
      <c r="D188" s="659" t="e">
        <f>#REF!</f>
        <v>#REF!</v>
      </c>
      <c r="E188" s="659"/>
      <c r="F188" s="659"/>
      <c r="G188" s="659"/>
      <c r="H188" s="659"/>
      <c r="I188" s="682" t="str">
        <f>U1</f>
        <v>Km's Receiver Lines:</v>
      </c>
      <c r="J188" s="898" t="e">
        <f>#REF!</f>
        <v>#REF!</v>
      </c>
      <c r="K188" s="673">
        <f>T6</f>
        <v>0</v>
      </c>
      <c r="L188" s="686" t="str">
        <f>U4</f>
        <v>No. of Receiver Lines:</v>
      </c>
      <c r="M188" s="681">
        <f>V4</f>
        <v>10</v>
      </c>
      <c r="N188" s="673" t="e">
        <f>#REF!</f>
        <v>#REF!</v>
      </c>
      <c r="O188" s="686" t="str">
        <f>AG4</f>
        <v>No. of  Source Lines:</v>
      </c>
      <c r="P188" s="899" t="e">
        <f>#REF!</f>
        <v>#REF!</v>
      </c>
      <c r="Q188" s="896"/>
      <c r="R188" s="896"/>
      <c r="S188" s="896" t="s">
        <v>189</v>
      </c>
      <c r="T188" s="896" t="s">
        <v>190</v>
      </c>
      <c r="U188" s="896" t="s">
        <v>191</v>
      </c>
      <c r="V188" s="896" t="s">
        <v>190</v>
      </c>
      <c r="W188" s="896" t="s">
        <v>192</v>
      </c>
      <c r="X188" s="896" t="s">
        <v>193</v>
      </c>
      <c r="Y188" s="896" t="s">
        <v>194</v>
      </c>
      <c r="Z188" s="896" t="s">
        <v>195</v>
      </c>
      <c r="AA188" s="896"/>
      <c r="AB188" s="896"/>
      <c r="AC188" s="896"/>
      <c r="AD188" s="896"/>
      <c r="AE188" s="896"/>
      <c r="AF188" s="896"/>
      <c r="AG188" s="896"/>
      <c r="AH188" s="896"/>
      <c r="AI188" s="896"/>
      <c r="AJ188" s="896"/>
      <c r="AK188" s="896"/>
      <c r="AL188" s="896"/>
      <c r="AM188" s="896"/>
      <c r="AN188" s="896"/>
      <c r="AO188" s="896"/>
      <c r="AP188" s="896"/>
      <c r="AQ188" s="896"/>
      <c r="AR188" s="896"/>
      <c r="AS188" s="896"/>
      <c r="AT188" s="896"/>
      <c r="AU188" s="896"/>
      <c r="AV188" s="896"/>
      <c r="AW188" s="896"/>
      <c r="AX188" s="896"/>
      <c r="AY188" s="896"/>
    </row>
    <row r="189" spans="1:51" ht="12.75" customHeight="1">
      <c r="A189" s="896"/>
      <c r="B189" s="659" t="e">
        <f>#REF!</f>
        <v>#REF!</v>
      </c>
      <c r="D189" s="659" t="e">
        <f>#REF!</f>
        <v>#REF!</v>
      </c>
      <c r="I189" s="682" t="str">
        <f>AG1</f>
        <v>Km's Source Lines:</v>
      </c>
      <c r="J189" s="898">
        <f>AH1</f>
        <v>0</v>
      </c>
      <c r="K189" s="673" t="e">
        <f>#REF!</f>
        <v>#REF!</v>
      </c>
      <c r="L189" s="686" t="str">
        <f>U2</f>
        <v>Receiver Interval:</v>
      </c>
      <c r="M189" s="681" t="e">
        <f>#REF!</f>
        <v>#REF!</v>
      </c>
      <c r="N189" s="673" t="e">
        <f>#REF!</f>
        <v>#REF!</v>
      </c>
      <c r="O189" s="900" t="str">
        <f>AG2</f>
        <v>S.P. Interval:</v>
      </c>
      <c r="P189" s="901">
        <f>AH2</f>
        <v>0</v>
      </c>
      <c r="Q189" s="896"/>
      <c r="R189" s="896"/>
      <c r="S189" s="896" t="s">
        <v>199</v>
      </c>
      <c r="T189" s="896" t="s">
        <v>200</v>
      </c>
      <c r="U189" s="896" t="s">
        <v>201</v>
      </c>
      <c r="V189" s="896" t="s">
        <v>202</v>
      </c>
      <c r="W189" s="896" t="s">
        <v>203</v>
      </c>
      <c r="X189" s="896" t="s">
        <v>204</v>
      </c>
      <c r="Y189" s="896" t="s">
        <v>205</v>
      </c>
      <c r="Z189" s="896" t="s">
        <v>206</v>
      </c>
      <c r="AA189" s="896"/>
      <c r="AB189" s="896"/>
      <c r="AC189" s="896"/>
      <c r="AD189" s="896"/>
      <c r="AE189" s="896"/>
      <c r="AF189" s="896"/>
      <c r="AG189" s="896"/>
      <c r="AH189" s="896"/>
      <c r="AI189" s="896"/>
      <c r="AJ189" s="896"/>
      <c r="AK189" s="896"/>
      <c r="AL189" s="896"/>
      <c r="AM189" s="896"/>
      <c r="AN189" s="896"/>
      <c r="AO189" s="896"/>
      <c r="AP189" s="896"/>
      <c r="AQ189" s="896"/>
      <c r="AR189" s="896"/>
      <c r="AS189" s="896"/>
      <c r="AT189" s="896"/>
      <c r="AU189" s="896"/>
      <c r="AV189" s="896"/>
      <c r="AW189" s="896"/>
      <c r="AX189" s="896"/>
      <c r="AY189" s="896"/>
    </row>
    <row r="190" spans="1:51" s="896" customFormat="1" ht="12.75" customHeight="1">
      <c r="B190" s="659" t="e">
        <f>#REF!</f>
        <v>#REF!</v>
      </c>
      <c r="C190" s="659"/>
      <c r="D190" s="659" t="e">
        <f>#REF!</f>
        <v>#REF!</v>
      </c>
      <c r="E190" s="659"/>
      <c r="F190" s="659"/>
      <c r="G190" s="659"/>
      <c r="H190" s="659"/>
      <c r="I190" s="682" t="str">
        <f>E6</f>
        <v>Linear Km's:</v>
      </c>
      <c r="J190" s="898">
        <f>F6</f>
        <v>0</v>
      </c>
      <c r="K190" s="673" t="e">
        <f>#REF!</f>
        <v>#REF!</v>
      </c>
      <c r="L190" s="686" t="str">
        <f>U3</f>
        <v>Receiver Line Interval:</v>
      </c>
      <c r="M190" s="681" t="e">
        <f>#REF!</f>
        <v>#REF!</v>
      </c>
      <c r="N190" s="673" t="str">
        <f>O17</f>
        <v>Stations</v>
      </c>
      <c r="O190" s="900" t="str">
        <f>AG3</f>
        <v>Source Line Interval:</v>
      </c>
      <c r="P190" s="901">
        <f>AH3</f>
        <v>0</v>
      </c>
      <c r="S190" s="896" t="s">
        <v>207</v>
      </c>
      <c r="T190" s="896" t="s">
        <v>208</v>
      </c>
      <c r="U190" s="896" t="s">
        <v>209</v>
      </c>
      <c r="V190" s="896" t="s">
        <v>210</v>
      </c>
      <c r="W190" s="896" t="s">
        <v>211</v>
      </c>
      <c r="X190" s="896" t="s">
        <v>212</v>
      </c>
      <c r="Y190" s="896" t="s">
        <v>213</v>
      </c>
      <c r="Z190" s="896" t="s">
        <v>214</v>
      </c>
    </row>
    <row r="191" spans="1:51" s="896" customFormat="1" ht="12.75" customHeight="1">
      <c r="B191" s="902" t="e">
        <f>#REF!</f>
        <v>#REF!</v>
      </c>
      <c r="C191" s="902"/>
      <c r="D191" s="659" t="e">
        <f>#REF!</f>
        <v>#REF!</v>
      </c>
      <c r="E191" s="659"/>
      <c r="F191" s="659"/>
      <c r="G191" s="659"/>
      <c r="H191" s="659"/>
      <c r="I191" s="682" t="str">
        <f>E7</f>
        <v>Square Km's:</v>
      </c>
      <c r="J191" s="903">
        <f>F7</f>
        <v>0</v>
      </c>
      <c r="K191" s="673" t="e">
        <f>#REF!</f>
        <v>#REF!</v>
      </c>
      <c r="L191" s="900" t="str">
        <f>U5</f>
        <v>Total Receiver points:</v>
      </c>
      <c r="M191" s="904">
        <f>V5</f>
        <v>10010</v>
      </c>
      <c r="N191" s="673">
        <f>AJ21</f>
        <v>0</v>
      </c>
      <c r="O191" s="900" t="str">
        <f>AG5</f>
        <v>Total Source points:</v>
      </c>
      <c r="P191" s="901" t="e">
        <f>AH5</f>
        <v>#DIV/0!</v>
      </c>
      <c r="S191" s="896" t="s">
        <v>215</v>
      </c>
      <c r="T191" s="896" t="s">
        <v>216</v>
      </c>
      <c r="U191" s="896" t="s">
        <v>217</v>
      </c>
      <c r="V191" s="896" t="s">
        <v>218</v>
      </c>
      <c r="W191" s="896" t="s">
        <v>201</v>
      </c>
      <c r="X191" s="896" t="s">
        <v>219</v>
      </c>
      <c r="Y191" s="896" t="s">
        <v>220</v>
      </c>
    </row>
    <row r="192" spans="1:51" s="896" customFormat="1" ht="12.75" customHeight="1">
      <c r="B192" s="902" t="e">
        <f>#REF!</f>
        <v>#REF!</v>
      </c>
      <c r="C192" s="902"/>
      <c r="D192" s="659" t="e">
        <f>#REF!</f>
        <v>#REF!</v>
      </c>
      <c r="E192" s="659"/>
      <c r="F192" s="659"/>
      <c r="G192" s="659"/>
      <c r="H192" s="659"/>
      <c r="I192" s="682" t="str">
        <f>AU5</f>
        <v>Holes Per /S.P.:</v>
      </c>
      <c r="J192" s="681">
        <f>AV5</f>
        <v>1</v>
      </c>
      <c r="K192" s="673" t="e">
        <f>#REF!</f>
        <v>#REF!</v>
      </c>
      <c r="L192" s="673" t="e">
        <f>#REF!</f>
        <v>#REF!</v>
      </c>
      <c r="M192" s="900" t="str">
        <f>AU2</f>
        <v>Kgs per Hole ("0" if Vib Job)=&gt;:</v>
      </c>
      <c r="N192" s="905">
        <f>AV2</f>
        <v>0</v>
      </c>
      <c r="O192" s="686" t="str">
        <f>AU1</f>
        <v>Hole Depth:</v>
      </c>
      <c r="P192" s="906">
        <f>AV1</f>
        <v>0</v>
      </c>
      <c r="S192" s="896" t="s">
        <v>187</v>
      </c>
      <c r="U192" s="896" t="s">
        <v>218</v>
      </c>
      <c r="V192" s="896" t="s">
        <v>216</v>
      </c>
      <c r="Y192" s="896" t="s">
        <v>221</v>
      </c>
      <c r="Z192" s="896" t="s">
        <v>222</v>
      </c>
    </row>
    <row r="193" spans="2:26" s="896" customFormat="1" ht="12.75" customHeight="1">
      <c r="B193" s="659" t="e">
        <f>#REF!</f>
        <v>#REF!</v>
      </c>
      <c r="C193" s="659"/>
      <c r="D193" s="659" t="e">
        <f>#REF!</f>
        <v>#REF!</v>
      </c>
      <c r="E193" s="659"/>
      <c r="F193" s="659"/>
      <c r="G193" s="659"/>
      <c r="H193" s="659"/>
      <c r="I193" s="682" t="str">
        <f>AU6</f>
        <v>Extra Hole per Line:</v>
      </c>
      <c r="J193" s="907">
        <f>AV6</f>
        <v>0</v>
      </c>
      <c r="K193" s="673" t="e">
        <f>#REF!</f>
        <v>#REF!</v>
      </c>
      <c r="L193" s="673" t="e">
        <f>#REF!</f>
        <v>#REF!</v>
      </c>
      <c r="M193" s="686" t="str">
        <f>AU3</f>
        <v>Double Cap:</v>
      </c>
      <c r="N193" s="723" t="str">
        <f>AV3</f>
        <v>NO</v>
      </c>
      <c r="O193" s="686" t="e">
        <f>#REF!</f>
        <v>#REF!</v>
      </c>
      <c r="P193" s="908" t="e">
        <f>#REF!</f>
        <v>#REF!</v>
      </c>
      <c r="S193" s="896" t="s">
        <v>223</v>
      </c>
      <c r="U193" s="909">
        <v>428</v>
      </c>
      <c r="Y193" s="896" t="s">
        <v>224</v>
      </c>
      <c r="Z193" s="896" t="s">
        <v>225</v>
      </c>
    </row>
    <row r="194" spans="2:26" s="896" customFormat="1" ht="12.75" customHeight="1">
      <c r="B194" s="722" t="e">
        <f>#REF!</f>
        <v>#REF!</v>
      </c>
      <c r="C194" s="722"/>
      <c r="D194" s="722" t="e">
        <f>#REF!</f>
        <v>#REF!</v>
      </c>
      <c r="E194" s="722"/>
      <c r="F194" s="722"/>
      <c r="G194" s="722"/>
      <c r="H194" s="722"/>
      <c r="I194" s="659" t="e">
        <f>#REF!</f>
        <v>#REF!</v>
      </c>
      <c r="J194" s="686" t="str">
        <f>E17</f>
        <v>Patch Size:</v>
      </c>
      <c r="K194" s="681">
        <f>F17</f>
        <v>10</v>
      </c>
      <c r="L194" s="724" t="str">
        <f>I17</f>
        <v>Lines</v>
      </c>
      <c r="M194" s="904" t="e">
        <f>#REF!</f>
        <v>#REF!</v>
      </c>
      <c r="N194" s="725" t="e">
        <f>#REF!</f>
        <v>#REF!</v>
      </c>
      <c r="O194" s="673" t="str">
        <f>R18</f>
        <v>Channels Rquired (4 lines roll)</v>
      </c>
      <c r="P194" s="908">
        <f>S18</f>
        <v>0</v>
      </c>
      <c r="S194" s="896" t="s">
        <v>226</v>
      </c>
      <c r="Z194" s="896" t="s">
        <v>227</v>
      </c>
    </row>
    <row r="195" spans="2:26" s="896" customFormat="1" ht="12.75" customHeight="1">
      <c r="I195" s="910"/>
      <c r="J195" s="911"/>
      <c r="K195" s="912"/>
      <c r="M195" s="913">
        <f t="shared" ref="M195:M203" si="3">BH95</f>
        <v>0</v>
      </c>
      <c r="N195" s="914"/>
      <c r="O195" s="915">
        <f t="shared" ref="O195:O203" si="4">BI95</f>
        <v>0</v>
      </c>
      <c r="P195" s="916"/>
    </row>
    <row r="196" spans="2:26" s="896" customFormat="1" ht="12.75" customHeight="1">
      <c r="I196" s="917" t="s">
        <v>228</v>
      </c>
      <c r="J196" s="918"/>
      <c r="K196" s="919"/>
      <c r="M196" s="913">
        <f t="shared" si="3"/>
        <v>0</v>
      </c>
      <c r="N196" s="914"/>
      <c r="O196" s="915">
        <f t="shared" si="4"/>
        <v>0</v>
      </c>
      <c r="P196" s="916"/>
    </row>
    <row r="197" spans="2:26" s="896" customFormat="1" ht="12.75" customHeight="1">
      <c r="I197" s="920"/>
      <c r="J197" s="921"/>
      <c r="K197" s="922"/>
      <c r="M197" s="913">
        <f t="shared" si="3"/>
        <v>0</v>
      </c>
      <c r="N197" s="914"/>
      <c r="O197" s="915">
        <f t="shared" si="4"/>
        <v>0</v>
      </c>
      <c r="P197" s="916"/>
    </row>
    <row r="198" spans="2:26" s="896" customFormat="1" ht="12.75" customHeight="1">
      <c r="J198" s="923"/>
      <c r="K198" s="923"/>
      <c r="M198" s="913">
        <f t="shared" si="3"/>
        <v>0</v>
      </c>
      <c r="N198" s="914"/>
      <c r="O198" s="915">
        <f t="shared" si="4"/>
        <v>0</v>
      </c>
      <c r="P198" s="916"/>
    </row>
    <row r="199" spans="2:26" s="896" customFormat="1" ht="12.75" customHeight="1">
      <c r="I199" s="924" t="s">
        <v>236</v>
      </c>
      <c r="J199" s="925"/>
      <c r="K199" s="925"/>
      <c r="M199" s="913">
        <f t="shared" si="3"/>
        <v>0</v>
      </c>
      <c r="N199" s="914"/>
      <c r="O199" s="915">
        <f t="shared" si="4"/>
        <v>0</v>
      </c>
      <c r="P199" s="916"/>
    </row>
    <row r="200" spans="2:26" s="896" customFormat="1" ht="12.75" customHeight="1">
      <c r="I200" s="926" t="s">
        <v>239</v>
      </c>
      <c r="J200" s="927"/>
      <c r="K200" s="928" t="s">
        <v>240</v>
      </c>
      <c r="M200" s="913">
        <f t="shared" si="3"/>
        <v>0</v>
      </c>
      <c r="N200" s="914"/>
      <c r="O200" s="915">
        <f t="shared" si="4"/>
        <v>0</v>
      </c>
      <c r="P200" s="916"/>
    </row>
    <row r="201" spans="2:26" s="896" customFormat="1" ht="12.75" customHeight="1">
      <c r="I201" s="929" t="s">
        <v>242</v>
      </c>
      <c r="J201" s="930"/>
      <c r="K201" s="931"/>
      <c r="M201" s="913">
        <f t="shared" si="3"/>
        <v>0</v>
      </c>
      <c r="N201" s="914"/>
      <c r="O201" s="915">
        <f t="shared" si="4"/>
        <v>0</v>
      </c>
      <c r="P201" s="916"/>
    </row>
    <row r="202" spans="2:26" s="896" customFormat="1" ht="12.75" customHeight="1">
      <c r="I202" s="929" t="s">
        <v>245</v>
      </c>
      <c r="J202" s="932"/>
      <c r="K202" s="916" t="s">
        <v>246</v>
      </c>
      <c r="M202" s="913">
        <f t="shared" si="3"/>
        <v>0</v>
      </c>
      <c r="N202" s="914"/>
      <c r="O202" s="915">
        <f t="shared" si="4"/>
        <v>0</v>
      </c>
      <c r="P202" s="916"/>
    </row>
    <row r="203" spans="2:26" s="896" customFormat="1" ht="12.75" customHeight="1">
      <c r="I203" s="933" t="s">
        <v>248</v>
      </c>
      <c r="J203" s="934"/>
      <c r="K203" s="935" t="s">
        <v>249</v>
      </c>
      <c r="M203" s="913">
        <f t="shared" si="3"/>
        <v>0</v>
      </c>
      <c r="N203" s="914"/>
      <c r="O203" s="915">
        <f t="shared" si="4"/>
        <v>0</v>
      </c>
      <c r="P203" s="916"/>
    </row>
    <row r="204" spans="2:26" s="896" customFormat="1" ht="12.75" customHeight="1">
      <c r="M204" s="913"/>
      <c r="N204" s="914"/>
      <c r="O204" s="915"/>
      <c r="P204" s="936"/>
    </row>
    <row r="205" spans="2:26" s="896" customFormat="1" ht="12.75" customHeight="1">
      <c r="I205" s="937" t="s">
        <v>268</v>
      </c>
      <c r="J205" s="938" t="s">
        <v>156</v>
      </c>
      <c r="K205" s="939" t="s">
        <v>97</v>
      </c>
      <c r="M205" s="940"/>
      <c r="N205" s="940"/>
      <c r="O205" s="938"/>
      <c r="P205" s="940"/>
    </row>
    <row r="206" spans="2:26" s="896" customFormat="1" ht="12.75" customHeight="1">
      <c r="I206" s="924" t="s">
        <v>267</v>
      </c>
      <c r="J206" s="941"/>
      <c r="K206" s="941"/>
      <c r="M206" s="937" t="s">
        <v>279</v>
      </c>
      <c r="N206" s="942"/>
      <c r="O206" s="939" t="s">
        <v>31</v>
      </c>
      <c r="P206" s="925" t="s">
        <v>196</v>
      </c>
    </row>
    <row r="207" spans="2:26" s="896" customFormat="1" ht="12.75" customHeight="1">
      <c r="I207" s="924" t="s">
        <v>266</v>
      </c>
      <c r="J207" s="941"/>
      <c r="K207" s="941"/>
      <c r="L207" s="914"/>
      <c r="M207" s="943" t="s">
        <v>229</v>
      </c>
      <c r="N207" s="914"/>
      <c r="O207" s="913"/>
      <c r="P207" s="936"/>
    </row>
    <row r="208" spans="2:26" s="896" customFormat="1" ht="12.75" customHeight="1">
      <c r="L208" s="914"/>
      <c r="M208" s="943" t="s">
        <v>231</v>
      </c>
      <c r="N208" s="914"/>
      <c r="O208" s="913"/>
      <c r="P208" s="936"/>
    </row>
    <row r="209" spans="1:29" s="896" customFormat="1" ht="12.75" customHeight="1">
      <c r="I209" s="944" t="s">
        <v>230</v>
      </c>
      <c r="J209" s="945" t="s">
        <v>31</v>
      </c>
      <c r="K209" s="945" t="s">
        <v>196</v>
      </c>
      <c r="M209" s="913" t="s">
        <v>262</v>
      </c>
      <c r="N209" s="914"/>
      <c r="O209" s="913"/>
      <c r="P209" s="936"/>
    </row>
    <row r="210" spans="1:29" s="896" customFormat="1" ht="12.75" customHeight="1">
      <c r="I210" s="946" t="s">
        <v>232</v>
      </c>
      <c r="J210" s="927"/>
      <c r="K210" s="947"/>
      <c r="M210" s="948"/>
      <c r="N210" s="949"/>
      <c r="O210" s="948"/>
      <c r="P210" s="950"/>
    </row>
    <row r="211" spans="1:29" s="896" customFormat="1" ht="12.75" customHeight="1">
      <c r="I211" s="951" t="s">
        <v>271</v>
      </c>
      <c r="J211" s="932"/>
      <c r="K211" s="952"/>
    </row>
    <row r="212" spans="1:29" s="896" customFormat="1" ht="12.75" customHeight="1">
      <c r="I212" s="951" t="s">
        <v>233</v>
      </c>
      <c r="J212" s="932"/>
      <c r="K212" s="952"/>
      <c r="M212" s="924" t="s">
        <v>197</v>
      </c>
      <c r="N212" s="942"/>
      <c r="O212" s="925" t="s">
        <v>31</v>
      </c>
      <c r="P212" s="939" t="s">
        <v>198</v>
      </c>
    </row>
    <row r="213" spans="1:29" s="896" customFormat="1" ht="12.75" customHeight="1">
      <c r="I213" s="951"/>
      <c r="J213" s="932"/>
      <c r="K213" s="952"/>
      <c r="M213" s="953" t="str">
        <f>C24</f>
        <v>Party Manager</v>
      </c>
      <c r="O213" s="954" t="e">
        <f>#REF!</f>
        <v>#REF!</v>
      </c>
      <c r="P213" s="928"/>
    </row>
    <row r="214" spans="1:29" s="896" customFormat="1" ht="12.75" customHeight="1">
      <c r="I214" s="955"/>
      <c r="J214" s="934"/>
      <c r="K214" s="956"/>
      <c r="M214" s="913" t="str">
        <f>C25</f>
        <v>Assist.Party Manager</v>
      </c>
      <c r="O214" s="915" t="e">
        <f>#REF!</f>
        <v>#REF!</v>
      </c>
      <c r="P214" s="916"/>
    </row>
    <row r="215" spans="1:29" s="896" customFormat="1" ht="12.75" customHeight="1">
      <c r="J215" s="923"/>
      <c r="K215" s="923"/>
      <c r="M215" s="913" t="str">
        <f>C26</f>
        <v>Field Service Tech</v>
      </c>
      <c r="O215" s="915" t="e">
        <f>#REF!</f>
        <v>#REF!</v>
      </c>
      <c r="P215" s="916"/>
    </row>
    <row r="216" spans="1:29" s="896" customFormat="1" ht="12.75" customHeight="1">
      <c r="I216" s="937" t="s">
        <v>235</v>
      </c>
      <c r="J216" s="925" t="s">
        <v>31</v>
      </c>
      <c r="K216" s="925" t="s">
        <v>196</v>
      </c>
      <c r="M216" s="913" t="str">
        <f>C31</f>
        <v>Administrator</v>
      </c>
      <c r="O216" s="915" t="e">
        <f>#REF!</f>
        <v>#REF!</v>
      </c>
      <c r="P216" s="916"/>
    </row>
    <row r="217" spans="1:29" s="896" customFormat="1" ht="12.75" customHeight="1">
      <c r="I217" s="946" t="s">
        <v>238</v>
      </c>
      <c r="J217" s="927"/>
      <c r="K217" s="947"/>
      <c r="M217" s="913" t="str">
        <f>C29</f>
        <v>Mechanic</v>
      </c>
      <c r="O217" s="915" t="e">
        <f>#REF!</f>
        <v>#REF!</v>
      </c>
      <c r="P217" s="916"/>
    </row>
    <row r="218" spans="1:29" s="896" customFormat="1" ht="12.75" customHeight="1">
      <c r="I218" s="951" t="s">
        <v>241</v>
      </c>
      <c r="J218" s="932"/>
      <c r="K218" s="952"/>
      <c r="M218" s="913" t="str">
        <f>C35</f>
        <v>Vibrator Technician</v>
      </c>
      <c r="O218" s="915" t="e">
        <f>#REF!</f>
        <v>#REF!</v>
      </c>
      <c r="P218" s="916"/>
    </row>
    <row r="219" spans="1:29" s="896" customFormat="1" ht="12.75" customHeight="1">
      <c r="I219" s="951" t="s">
        <v>244</v>
      </c>
      <c r="J219" s="932"/>
      <c r="K219" s="952"/>
      <c r="M219" s="913" t="str">
        <f>C27</f>
        <v>Merge Operator</v>
      </c>
      <c r="O219" s="915" t="e">
        <f>#REF!</f>
        <v>#REF!</v>
      </c>
      <c r="P219" s="916"/>
    </row>
    <row r="220" spans="1:29" s="896" customFormat="1" ht="12.75" customHeight="1">
      <c r="I220" s="951" t="s">
        <v>247</v>
      </c>
      <c r="J220" s="932"/>
      <c r="K220" s="952"/>
      <c r="M220" s="913" t="str">
        <f>C28</f>
        <v>FMC Operator</v>
      </c>
      <c r="O220" s="915" t="e">
        <f>#REF!</f>
        <v>#REF!</v>
      </c>
      <c r="P220" s="916"/>
    </row>
    <row r="221" spans="1:29" s="896" customFormat="1" ht="12.75" customHeight="1">
      <c r="I221" s="951" t="s">
        <v>250</v>
      </c>
      <c r="J221" s="932"/>
      <c r="K221" s="952"/>
      <c r="L221" s="914"/>
      <c r="M221" s="913" t="str">
        <f>C30</f>
        <v>HSE Advisor</v>
      </c>
      <c r="O221" s="915">
        <f>BB35</f>
        <v>0</v>
      </c>
      <c r="P221" s="916"/>
    </row>
    <row r="222" spans="1:29" s="896" customFormat="1" ht="12.75" customHeight="1">
      <c r="I222" s="951" t="s">
        <v>251</v>
      </c>
      <c r="J222" s="932"/>
      <c r="K222" s="952"/>
      <c r="M222" s="913" t="str">
        <f>C32</f>
        <v>Co-ordinator</v>
      </c>
      <c r="O222" s="915">
        <f>BB36</f>
        <v>0</v>
      </c>
      <c r="P222" s="916"/>
    </row>
    <row r="223" spans="1:29" s="896" customFormat="1" ht="12.75" customHeight="1">
      <c r="I223" s="951" t="s">
        <v>253</v>
      </c>
      <c r="J223" s="932"/>
      <c r="K223" s="952"/>
      <c r="M223" s="913" t="str">
        <f>C33</f>
        <v>Shooters</v>
      </c>
      <c r="O223" s="915">
        <f>BB37</f>
        <v>0</v>
      </c>
      <c r="P223" s="916"/>
    </row>
    <row r="224" spans="1:29" s="896" customFormat="1" ht="12.75" customHeight="1">
      <c r="A224" s="659"/>
      <c r="B224" s="659"/>
      <c r="C224" s="659"/>
      <c r="D224" s="659"/>
      <c r="E224" s="659"/>
      <c r="F224" s="659"/>
      <c r="G224" s="659"/>
      <c r="H224" s="659"/>
      <c r="I224" s="951" t="s">
        <v>264</v>
      </c>
      <c r="J224" s="932"/>
      <c r="K224" s="952"/>
      <c r="L224" s="659"/>
      <c r="M224" s="913" t="str">
        <f>C34</f>
        <v>Shooter's Helpers</v>
      </c>
      <c r="O224" s="915">
        <f>BB38</f>
        <v>0</v>
      </c>
      <c r="P224" s="916"/>
      <c r="Q224" s="666"/>
      <c r="R224" s="659"/>
      <c r="S224" s="659"/>
      <c r="T224" s="659"/>
      <c r="U224" s="659"/>
      <c r="V224" s="659"/>
      <c r="W224" s="659"/>
      <c r="X224" s="659"/>
      <c r="Y224" s="659"/>
      <c r="Z224" s="659"/>
      <c r="AA224" s="659"/>
      <c r="AB224" s="659"/>
      <c r="AC224" s="659"/>
    </row>
    <row r="225" spans="1:51" s="896" customFormat="1" ht="12.75" customHeight="1">
      <c r="A225" s="659"/>
      <c r="B225" s="659"/>
      <c r="C225" s="659"/>
      <c r="D225" s="659"/>
      <c r="E225" s="659"/>
      <c r="F225" s="659"/>
      <c r="G225" s="659"/>
      <c r="H225" s="659"/>
      <c r="I225" s="955" t="s">
        <v>265</v>
      </c>
      <c r="J225" s="934"/>
      <c r="K225" s="956"/>
      <c r="L225" s="659"/>
      <c r="M225" s="913" t="str">
        <f>C38</f>
        <v>Trouble Shooters/Viewers</v>
      </c>
      <c r="O225" s="915">
        <f>BB39</f>
        <v>0</v>
      </c>
      <c r="P225" s="916"/>
      <c r="Q225" s="666"/>
      <c r="R225" s="659"/>
      <c r="S225" s="659"/>
      <c r="T225" s="659"/>
      <c r="U225" s="659"/>
      <c r="V225" s="659"/>
      <c r="W225" s="659"/>
      <c r="X225" s="659"/>
      <c r="Y225" s="659"/>
      <c r="Z225" s="659"/>
      <c r="AA225" s="659"/>
      <c r="AB225" s="659"/>
      <c r="AC225" s="659"/>
      <c r="AD225" s="659"/>
      <c r="AE225" s="659"/>
      <c r="AF225" s="659"/>
      <c r="AG225" s="659"/>
      <c r="AH225" s="659"/>
      <c r="AI225" s="659"/>
      <c r="AJ225" s="659"/>
      <c r="AK225" s="659"/>
      <c r="AL225" s="659"/>
      <c r="AM225" s="659"/>
      <c r="AN225" s="659"/>
      <c r="AO225" s="659"/>
      <c r="AP225" s="659"/>
      <c r="AQ225" s="659"/>
      <c r="AR225" s="659"/>
      <c r="AS225" s="659"/>
      <c r="AT225" s="659"/>
      <c r="AU225" s="659"/>
      <c r="AV225" s="659"/>
      <c r="AW225" s="659"/>
      <c r="AX225" s="659"/>
      <c r="AY225" s="659"/>
    </row>
    <row r="226" spans="1:51" s="896" customFormat="1" ht="12.75" customHeight="1">
      <c r="A226" s="659"/>
      <c r="B226" s="659"/>
      <c r="C226" s="659"/>
      <c r="D226" s="659"/>
      <c r="E226" s="659"/>
      <c r="F226" s="659"/>
      <c r="G226" s="659"/>
      <c r="H226" s="659"/>
      <c r="I226" s="668"/>
      <c r="J226" s="659"/>
      <c r="K226" s="659"/>
      <c r="L226" s="659"/>
      <c r="M226" s="913" t="str">
        <f>C39</f>
        <v>Line Boss</v>
      </c>
      <c r="O226" s="915">
        <f>BB40</f>
        <v>0</v>
      </c>
      <c r="P226" s="916"/>
      <c r="Q226" s="666"/>
      <c r="R226" s="659"/>
      <c r="S226" s="659"/>
      <c r="T226" s="659"/>
      <c r="U226" s="659"/>
      <c r="V226" s="659"/>
      <c r="W226" s="659"/>
      <c r="X226" s="659"/>
      <c r="Y226" s="659"/>
      <c r="Z226" s="659"/>
      <c r="AA226" s="659"/>
      <c r="AB226" s="659"/>
      <c r="AC226" s="659"/>
      <c r="AD226" s="659"/>
      <c r="AE226" s="659"/>
      <c r="AF226" s="659"/>
      <c r="AG226" s="659"/>
      <c r="AH226" s="659"/>
      <c r="AI226" s="659"/>
      <c r="AJ226" s="659"/>
      <c r="AK226" s="659"/>
      <c r="AL226" s="659"/>
      <c r="AM226" s="659"/>
      <c r="AN226" s="659"/>
      <c r="AO226" s="659"/>
      <c r="AP226" s="659"/>
      <c r="AQ226" s="659"/>
      <c r="AR226" s="659"/>
      <c r="AS226" s="659"/>
      <c r="AT226" s="659"/>
      <c r="AU226" s="659"/>
      <c r="AV226" s="659"/>
      <c r="AW226" s="659"/>
      <c r="AX226" s="659"/>
      <c r="AY226" s="659"/>
    </row>
    <row r="227" spans="1:51" s="896" customFormat="1" ht="12.75" customHeight="1">
      <c r="A227" s="659"/>
      <c r="B227" s="659"/>
      <c r="C227" s="659"/>
      <c r="D227" s="659"/>
      <c r="E227" s="659"/>
      <c r="F227" s="659"/>
      <c r="G227" s="659"/>
      <c r="H227" s="659"/>
      <c r="I227" s="937" t="s">
        <v>243</v>
      </c>
      <c r="J227" s="938" t="s">
        <v>156</v>
      </c>
      <c r="K227" s="939" t="s">
        <v>97</v>
      </c>
      <c r="L227" s="659"/>
      <c r="M227" s="913" t="str">
        <f>C40</f>
        <v>Recorder Helpers</v>
      </c>
      <c r="O227" s="915">
        <f>BB41</f>
        <v>0</v>
      </c>
      <c r="P227" s="916"/>
      <c r="Q227" s="659"/>
      <c r="R227" s="659"/>
      <c r="S227" s="659"/>
      <c r="T227" s="659"/>
      <c r="U227" s="659"/>
      <c r="V227" s="659"/>
      <c r="W227" s="659"/>
      <c r="X227" s="659"/>
      <c r="Y227" s="659"/>
      <c r="Z227" s="659"/>
      <c r="AA227" s="659"/>
      <c r="AB227" s="659"/>
      <c r="AC227" s="659"/>
      <c r="AD227" s="659"/>
      <c r="AE227" s="659"/>
      <c r="AF227" s="659"/>
      <c r="AG227" s="659"/>
      <c r="AH227" s="659"/>
      <c r="AI227" s="659"/>
      <c r="AJ227" s="659"/>
      <c r="AK227" s="659"/>
      <c r="AL227" s="659"/>
      <c r="AM227" s="659"/>
      <c r="AN227" s="659"/>
      <c r="AO227" s="659"/>
      <c r="AP227" s="659"/>
      <c r="AQ227" s="659"/>
      <c r="AR227" s="659"/>
      <c r="AS227" s="659"/>
      <c r="AT227" s="659"/>
      <c r="AU227" s="659"/>
      <c r="AV227" s="659"/>
      <c r="AW227" s="659"/>
      <c r="AX227" s="659"/>
      <c r="AY227" s="659"/>
    </row>
    <row r="228" spans="1:51" s="896" customFormat="1" ht="12.75" customHeight="1">
      <c r="A228" s="659"/>
      <c r="B228" s="659"/>
      <c r="C228" s="659"/>
      <c r="D228" s="659"/>
      <c r="E228" s="659"/>
      <c r="F228" s="659"/>
      <c r="G228" s="659"/>
      <c r="H228" s="659"/>
      <c r="I228" s="913" t="s">
        <v>258</v>
      </c>
      <c r="J228" s="957"/>
      <c r="K228" s="947"/>
      <c r="L228" s="659"/>
      <c r="M228" s="913" t="str">
        <f>C41</f>
        <v>Staging Helpers</v>
      </c>
      <c r="O228" s="915">
        <f>BB42</f>
        <v>0</v>
      </c>
      <c r="P228" s="916"/>
      <c r="Q228" s="659"/>
      <c r="R228" s="659"/>
      <c r="S228" s="659"/>
      <c r="T228" s="659"/>
      <c r="U228" s="659"/>
      <c r="V228" s="659"/>
      <c r="W228" s="659"/>
      <c r="X228" s="659"/>
      <c r="Y228" s="659"/>
      <c r="Z228" s="659"/>
      <c r="AA228" s="659"/>
      <c r="AB228" s="659"/>
      <c r="AC228" s="659"/>
      <c r="AD228" s="659"/>
      <c r="AE228" s="659"/>
      <c r="AF228" s="659"/>
      <c r="AG228" s="659"/>
      <c r="AH228" s="659"/>
      <c r="AI228" s="659"/>
      <c r="AJ228" s="659"/>
      <c r="AK228" s="659"/>
      <c r="AL228" s="659"/>
      <c r="AM228" s="659"/>
      <c r="AN228" s="659"/>
      <c r="AO228" s="659"/>
      <c r="AP228" s="659"/>
      <c r="AQ228" s="659"/>
      <c r="AR228" s="659"/>
      <c r="AS228" s="659"/>
      <c r="AT228" s="659"/>
      <c r="AU228" s="659"/>
      <c r="AV228" s="659"/>
      <c r="AW228" s="659"/>
      <c r="AX228" s="659"/>
      <c r="AY228" s="659"/>
    </row>
    <row r="229" spans="1:51" s="896" customFormat="1" ht="12.75" customHeight="1">
      <c r="A229" s="659"/>
      <c r="B229" s="659"/>
      <c r="C229" s="659"/>
      <c r="D229" s="659"/>
      <c r="E229" s="659"/>
      <c r="F229" s="659"/>
      <c r="G229" s="659"/>
      <c r="H229" s="659"/>
      <c r="I229" s="913" t="s">
        <v>259</v>
      </c>
      <c r="J229" s="958"/>
      <c r="K229" s="952"/>
      <c r="L229" s="659"/>
      <c r="M229" s="913" t="str">
        <f>C37</f>
        <v>Fuel Driver</v>
      </c>
      <c r="O229" s="915">
        <f>BB43</f>
        <v>0</v>
      </c>
      <c r="P229" s="916"/>
      <c r="Q229" s="659"/>
      <c r="R229" s="659"/>
      <c r="S229" s="659"/>
      <c r="T229" s="659"/>
      <c r="U229" s="659"/>
      <c r="V229" s="659"/>
      <c r="W229" s="659"/>
      <c r="X229" s="659"/>
      <c r="Y229" s="659"/>
      <c r="Z229" s="659"/>
      <c r="AA229" s="659"/>
      <c r="AB229" s="659"/>
      <c r="AC229" s="659"/>
      <c r="AD229" s="659"/>
      <c r="AE229" s="659"/>
      <c r="AF229" s="659"/>
      <c r="AG229" s="659"/>
      <c r="AH229" s="659"/>
      <c r="AI229" s="659"/>
      <c r="AJ229" s="659"/>
      <c r="AK229" s="659"/>
      <c r="AL229" s="659"/>
      <c r="AM229" s="659"/>
      <c r="AN229" s="659"/>
      <c r="AO229" s="659"/>
      <c r="AP229" s="659"/>
      <c r="AQ229" s="659"/>
      <c r="AR229" s="659"/>
      <c r="AS229" s="659"/>
      <c r="AT229" s="659"/>
      <c r="AU229" s="659"/>
      <c r="AV229" s="659"/>
      <c r="AW229" s="659"/>
      <c r="AX229" s="659"/>
      <c r="AY229" s="659"/>
    </row>
    <row r="230" spans="1:51" ht="12.75" customHeight="1">
      <c r="I230" s="913" t="s">
        <v>260</v>
      </c>
      <c r="J230" s="958"/>
      <c r="K230" s="952"/>
      <c r="M230" s="913" t="str">
        <f>C42</f>
        <v>Night Watchman</v>
      </c>
      <c r="N230" s="896"/>
      <c r="O230" s="915">
        <f>BB44</f>
        <v>0</v>
      </c>
      <c r="P230" s="916"/>
    </row>
    <row r="231" spans="1:51" ht="12.75" customHeight="1">
      <c r="I231" s="913" t="s">
        <v>252</v>
      </c>
      <c r="J231" s="958"/>
      <c r="K231" s="952"/>
      <c r="M231" s="913" t="str">
        <f>C36</f>
        <v>Vibrator Operators</v>
      </c>
      <c r="N231" s="896"/>
      <c r="O231" s="915">
        <f t="shared" ref="O231" si="5">BB77</f>
        <v>0</v>
      </c>
      <c r="P231" s="916"/>
    </row>
    <row r="232" spans="1:51" ht="12.75" customHeight="1">
      <c r="I232" s="948" t="s">
        <v>254</v>
      </c>
      <c r="J232" s="959"/>
      <c r="K232" s="956"/>
      <c r="M232" s="913" t="str">
        <f>C43</f>
        <v>Rotation</v>
      </c>
      <c r="N232" s="896"/>
      <c r="O232" s="915">
        <f>K43</f>
        <v>0</v>
      </c>
      <c r="P232" s="916"/>
    </row>
    <row r="233" spans="1:51" ht="12.75" customHeight="1">
      <c r="M233" s="913"/>
      <c r="N233" s="896"/>
      <c r="O233" s="915"/>
      <c r="P233" s="916"/>
    </row>
    <row r="234" spans="1:51" ht="12.75" customHeight="1">
      <c r="I234" s="960" t="s">
        <v>255</v>
      </c>
      <c r="J234" s="961"/>
      <c r="K234" s="961"/>
      <c r="M234" s="948"/>
      <c r="N234" s="717"/>
      <c r="O234" s="962">
        <f>'2018-2019 work sheet'!L218</f>
        <v>0</v>
      </c>
      <c r="P234" s="935"/>
    </row>
    <row r="235" spans="1:51" ht="12.75" customHeight="1">
      <c r="I235" s="960" t="s">
        <v>256</v>
      </c>
      <c r="J235" s="963"/>
      <c r="K235" s="963"/>
      <c r="M235" s="914" t="s">
        <v>234</v>
      </c>
      <c r="O235" s="964" t="e">
        <f>SUM(O213:O234)</f>
        <v>#REF!</v>
      </c>
    </row>
    <row r="236" spans="1:51" ht="12.75" customHeight="1">
      <c r="I236" s="960" t="s">
        <v>257</v>
      </c>
      <c r="J236" s="965"/>
      <c r="K236" s="965"/>
      <c r="M236" s="966" t="s">
        <v>237</v>
      </c>
      <c r="O236" s="923" t="e">
        <f>SUM(O213:O231)</f>
        <v>#REF!</v>
      </c>
    </row>
    <row r="237" spans="1:51" ht="12.75" customHeight="1">
      <c r="O237" s="659"/>
    </row>
    <row r="238" spans="1:51" ht="12.75" customHeight="1">
      <c r="I238" s="896" t="s">
        <v>263</v>
      </c>
      <c r="O238" s="659"/>
    </row>
  </sheetData>
  <mergeCells count="282">
    <mergeCell ref="BJ79:BK79"/>
    <mergeCell ref="BB79:BI79"/>
    <mergeCell ref="R7:Y7"/>
    <mergeCell ref="BB80:BI80"/>
    <mergeCell ref="BJ80:BK80"/>
    <mergeCell ref="AW25:AX25"/>
    <mergeCell ref="AW26:AX26"/>
    <mergeCell ref="C81:J81"/>
    <mergeCell ref="Z79:AC79"/>
    <mergeCell ref="AW24:AX24"/>
    <mergeCell ref="C40:J40"/>
    <mergeCell ref="C34:J34"/>
    <mergeCell ref="C38:J38"/>
    <mergeCell ref="K37:M37"/>
    <mergeCell ref="K42:M42"/>
    <mergeCell ref="K36:M36"/>
    <mergeCell ref="R23:U23"/>
    <mergeCell ref="N35:Q35"/>
    <mergeCell ref="N27:Q27"/>
    <mergeCell ref="N28:Q28"/>
    <mergeCell ref="C29:J29"/>
    <mergeCell ref="K27:M27"/>
    <mergeCell ref="K35:M35"/>
    <mergeCell ref="K29:M29"/>
    <mergeCell ref="V79:Y79"/>
    <mergeCell ref="AW27:AX27"/>
    <mergeCell ref="Z78:AC78"/>
    <mergeCell ref="K32:M32"/>
    <mergeCell ref="K30:M30"/>
    <mergeCell ref="N34:Q34"/>
    <mergeCell ref="N38:Q38"/>
    <mergeCell ref="C78:J78"/>
    <mergeCell ref="K78:M78"/>
    <mergeCell ref="N78:Q78"/>
    <mergeCell ref="R78:U78"/>
    <mergeCell ref="V78:Y78"/>
    <mergeCell ref="C37:J37"/>
    <mergeCell ref="C42:J42"/>
    <mergeCell ref="C36:J36"/>
    <mergeCell ref="C43:J43"/>
    <mergeCell ref="C39:J39"/>
    <mergeCell ref="C44:J44"/>
    <mergeCell ref="C41:J41"/>
    <mergeCell ref="R41:U41"/>
    <mergeCell ref="R42:U42"/>
    <mergeCell ref="N36:Q36"/>
    <mergeCell ref="N43:Q43"/>
    <mergeCell ref="N44:Q44"/>
    <mergeCell ref="C83:J83"/>
    <mergeCell ref="C84:J84"/>
    <mergeCell ref="C82:J82"/>
    <mergeCell ref="C85:J85"/>
    <mergeCell ref="K79:M79"/>
    <mergeCell ref="N79:Q79"/>
    <mergeCell ref="R79:U79"/>
    <mergeCell ref="AH5:AJ5"/>
    <mergeCell ref="AD23:AG23"/>
    <mergeCell ref="AH23:AK23"/>
    <mergeCell ref="AD24:AG24"/>
    <mergeCell ref="V23:Y23"/>
    <mergeCell ref="V24:Y24"/>
    <mergeCell ref="Z23:AC23"/>
    <mergeCell ref="Z24:AC24"/>
    <mergeCell ref="C30:J30"/>
    <mergeCell ref="C32:J32"/>
    <mergeCell ref="C33:J33"/>
    <mergeCell ref="K28:M28"/>
    <mergeCell ref="R31:U31"/>
    <mergeCell ref="R32:U32"/>
    <mergeCell ref="R33:U33"/>
    <mergeCell ref="R34:U34"/>
    <mergeCell ref="K31:M31"/>
    <mergeCell ref="C86:J86"/>
    <mergeCell ref="C80:J80"/>
    <mergeCell ref="C79:J79"/>
    <mergeCell ref="R24:U24"/>
    <mergeCell ref="N23:Q23"/>
    <mergeCell ref="N24:Q24"/>
    <mergeCell ref="N25:Q25"/>
    <mergeCell ref="N26:Q26"/>
    <mergeCell ref="N31:Q31"/>
    <mergeCell ref="N29:Q29"/>
    <mergeCell ref="N32:Q32"/>
    <mergeCell ref="N33:Q33"/>
    <mergeCell ref="K33:M33"/>
    <mergeCell ref="K34:M34"/>
    <mergeCell ref="K38:M38"/>
    <mergeCell ref="K39:M39"/>
    <mergeCell ref="C23:J23"/>
    <mergeCell ref="C24:J24"/>
    <mergeCell ref="C25:J25"/>
    <mergeCell ref="C26:J26"/>
    <mergeCell ref="C31:J31"/>
    <mergeCell ref="C35:J35"/>
    <mergeCell ref="C27:J27"/>
    <mergeCell ref="C28:J28"/>
    <mergeCell ref="V1:X1"/>
    <mergeCell ref="V2:X2"/>
    <mergeCell ref="V3:X3"/>
    <mergeCell ref="V4:X4"/>
    <mergeCell ref="V5:X5"/>
    <mergeCell ref="K26:M26"/>
    <mergeCell ref="K25:M25"/>
    <mergeCell ref="K24:M24"/>
    <mergeCell ref="A21:AZ21"/>
    <mergeCell ref="V25:Y25"/>
    <mergeCell ref="V26:Y26"/>
    <mergeCell ref="N93:Q93"/>
    <mergeCell ref="N94:Q94"/>
    <mergeCell ref="K90:M90"/>
    <mergeCell ref="K89:M89"/>
    <mergeCell ref="N89:Q89"/>
    <mergeCell ref="R89:U89"/>
    <mergeCell ref="K44:M44"/>
    <mergeCell ref="R25:U25"/>
    <mergeCell ref="R26:U26"/>
    <mergeCell ref="R27:U27"/>
    <mergeCell ref="R28:U28"/>
    <mergeCell ref="R29:U29"/>
    <mergeCell ref="R30:U30"/>
    <mergeCell ref="K43:M43"/>
    <mergeCell ref="K40:M40"/>
    <mergeCell ref="K41:M41"/>
    <mergeCell ref="C101:J101"/>
    <mergeCell ref="C98:J98"/>
    <mergeCell ref="C99:J99"/>
    <mergeCell ref="C94:J94"/>
    <mergeCell ref="C95:J95"/>
    <mergeCell ref="C96:J96"/>
    <mergeCell ref="C97:J97"/>
    <mergeCell ref="C89:J89"/>
    <mergeCell ref="C90:J90"/>
    <mergeCell ref="C91:J91"/>
    <mergeCell ref="C92:J92"/>
    <mergeCell ref="C93:J93"/>
    <mergeCell ref="C87:J87"/>
    <mergeCell ref="C104:J104"/>
    <mergeCell ref="K91:M91"/>
    <mergeCell ref="K92:M92"/>
    <mergeCell ref="K93:M93"/>
    <mergeCell ref="K103:M103"/>
    <mergeCell ref="A77:AZ77"/>
    <mergeCell ref="V44:Y44"/>
    <mergeCell ref="AD78:AG78"/>
    <mergeCell ref="AH78:AK78"/>
    <mergeCell ref="AL78:AO78"/>
    <mergeCell ref="AD79:AG79"/>
    <mergeCell ref="N97:Q97"/>
    <mergeCell ref="N98:Q98"/>
    <mergeCell ref="N99:Q99"/>
    <mergeCell ref="N100:Q100"/>
    <mergeCell ref="N101:Q101"/>
    <mergeCell ref="N92:Q92"/>
    <mergeCell ref="K101:M101"/>
    <mergeCell ref="K102:M102"/>
    <mergeCell ref="AH79:AK79"/>
    <mergeCell ref="AL79:AO79"/>
    <mergeCell ref="K98:M98"/>
    <mergeCell ref="K99:M99"/>
    <mergeCell ref="BB86:BI86"/>
    <mergeCell ref="BB82:BI82"/>
    <mergeCell ref="BB83:BI83"/>
    <mergeCell ref="BB84:BI84"/>
    <mergeCell ref="BB85:BI85"/>
    <mergeCell ref="BB81:BI81"/>
    <mergeCell ref="Z106:AC106"/>
    <mergeCell ref="N102:Q102"/>
    <mergeCell ref="N103:Q103"/>
    <mergeCell ref="AD89:AG89"/>
    <mergeCell ref="AH89:AK89"/>
    <mergeCell ref="AL89:AO89"/>
    <mergeCell ref="BB87:BI87"/>
    <mergeCell ref="BB88:BI88"/>
    <mergeCell ref="N95:Q95"/>
    <mergeCell ref="N96:Q96"/>
    <mergeCell ref="N90:Q90"/>
    <mergeCell ref="R90:U90"/>
    <mergeCell ref="V90:Y90"/>
    <mergeCell ref="Z90:AC90"/>
    <mergeCell ref="N91:Q91"/>
    <mergeCell ref="Z89:AC89"/>
    <mergeCell ref="V89:Y89"/>
    <mergeCell ref="N106:Q106"/>
    <mergeCell ref="R91:U91"/>
    <mergeCell ref="R92:U92"/>
    <mergeCell ref="R93:U93"/>
    <mergeCell ref="R94:U94"/>
    <mergeCell ref="R95:U95"/>
    <mergeCell ref="R96:U96"/>
    <mergeCell ref="R97:U97"/>
    <mergeCell ref="R98:U98"/>
    <mergeCell ref="R99:U99"/>
    <mergeCell ref="K97:M97"/>
    <mergeCell ref="N107:Q107"/>
    <mergeCell ref="R107:U107"/>
    <mergeCell ref="V107:Y107"/>
    <mergeCell ref="Z107:AC107"/>
    <mergeCell ref="C111:J111"/>
    <mergeCell ref="C112:J112"/>
    <mergeCell ref="C113:J113"/>
    <mergeCell ref="C114:J114"/>
    <mergeCell ref="R100:U100"/>
    <mergeCell ref="R101:U101"/>
    <mergeCell ref="C108:J108"/>
    <mergeCell ref="C109:J109"/>
    <mergeCell ref="C110:J110"/>
    <mergeCell ref="R102:U102"/>
    <mergeCell ref="R103:U103"/>
    <mergeCell ref="C106:J106"/>
    <mergeCell ref="K106:M106"/>
    <mergeCell ref="R106:U106"/>
    <mergeCell ref="V106:Y106"/>
    <mergeCell ref="K100:M100"/>
    <mergeCell ref="C102:J102"/>
    <mergeCell ref="C103:J103"/>
    <mergeCell ref="C100:J100"/>
    <mergeCell ref="N30:Q30"/>
    <mergeCell ref="V39:Y39"/>
    <mergeCell ref="V40:Y40"/>
    <mergeCell ref="V41:Y41"/>
    <mergeCell ref="V42:Y42"/>
    <mergeCell ref="V43:Y43"/>
    <mergeCell ref="R43:U43"/>
    <mergeCell ref="R44:U44"/>
    <mergeCell ref="V34:Y34"/>
    <mergeCell ref="V35:Y35"/>
    <mergeCell ref="V36:Y36"/>
    <mergeCell ref="V37:Y37"/>
    <mergeCell ref="V38:Y38"/>
    <mergeCell ref="R38:U38"/>
    <mergeCell ref="R39:U39"/>
    <mergeCell ref="R40:U40"/>
    <mergeCell ref="R35:U35"/>
    <mergeCell ref="R36:U36"/>
    <mergeCell ref="R37:U37"/>
    <mergeCell ref="N39:Q39"/>
    <mergeCell ref="N40:Q40"/>
    <mergeCell ref="N41:Q41"/>
    <mergeCell ref="V27:Y27"/>
    <mergeCell ref="V28:Y28"/>
    <mergeCell ref="V29:Y29"/>
    <mergeCell ref="V30:Y30"/>
    <mergeCell ref="V31:Y31"/>
    <mergeCell ref="V32:Y32"/>
    <mergeCell ref="V33:Y33"/>
    <mergeCell ref="Z30:AC30"/>
    <mergeCell ref="Z31:AC31"/>
    <mergeCell ref="Z32:AC32"/>
    <mergeCell ref="Z33:AC33"/>
    <mergeCell ref="Z34:AC34"/>
    <mergeCell ref="Z25:AC25"/>
    <mergeCell ref="Z26:AC26"/>
    <mergeCell ref="Z27:AC27"/>
    <mergeCell ref="Z28:AC28"/>
    <mergeCell ref="Z29:AC29"/>
    <mergeCell ref="Z40:AC40"/>
    <mergeCell ref="Z41:AC41"/>
    <mergeCell ref="Z42:AC42"/>
    <mergeCell ref="Z43:AC43"/>
    <mergeCell ref="Z44:AC44"/>
    <mergeCell ref="Z35:AC35"/>
    <mergeCell ref="Z36:AC36"/>
    <mergeCell ref="Z37:AC37"/>
    <mergeCell ref="Z38:AC38"/>
    <mergeCell ref="Z39:AC39"/>
    <mergeCell ref="C118:J118"/>
    <mergeCell ref="K117:M117"/>
    <mergeCell ref="K118:M118"/>
    <mergeCell ref="N117:Q117"/>
    <mergeCell ref="N118:Q118"/>
    <mergeCell ref="C116:J116"/>
    <mergeCell ref="K116:M116"/>
    <mergeCell ref="N116:Q116"/>
    <mergeCell ref="R116:U116"/>
    <mergeCell ref="C117:J117"/>
    <mergeCell ref="C107:J107"/>
    <mergeCell ref="K107:M107"/>
    <mergeCell ref="N37:Q37"/>
    <mergeCell ref="N42:Q42"/>
    <mergeCell ref="K94:M94"/>
    <mergeCell ref="K95:M95"/>
    <mergeCell ref="K96:M96"/>
  </mergeCells>
  <conditionalFormatting sqref="D173:H174">
    <cfRule type="expression" dxfId="4" priority="1" stopIfTrue="1">
      <formula>IF($D$173&lt;&gt;0,1,0)</formula>
    </cfRule>
  </conditionalFormatting>
  <dataValidations disablePrompts="1" count="9">
    <dataValidation type="list" allowBlank="1" showInputMessage="1" showErrorMessage="1" sqref="M185" xr:uid="{00000000-0002-0000-0000-000000000000}">
      <formula1>"101,102,103,104,105,106,107,VSP"</formula1>
    </dataValidation>
    <dataValidation type="list" allowBlank="1" showInputMessage="1" showErrorMessage="1" sqref="K210" xr:uid="{00000000-0002-0000-0000-000001000000}">
      <formula1>$Y$187:$Y$193</formula1>
    </dataValidation>
    <dataValidation type="list" allowBlank="1" showInputMessage="1" showErrorMessage="1" sqref="K212" xr:uid="{00000000-0002-0000-0000-000002000000}">
      <formula1>$Z$192:$Z$194</formula1>
    </dataValidation>
    <dataValidation type="list" allowBlank="1" showInputMessage="1" showErrorMessage="1" sqref="K196:K197" xr:uid="{00000000-0002-0000-0000-000003000000}">
      <formula1>$W$187:$W$191</formula1>
    </dataValidation>
    <dataValidation type="list" allowBlank="1" showInputMessage="1" showErrorMessage="1" sqref="K195" xr:uid="{00000000-0002-0000-0000-000004000000}">
      <formula1>$X$187:$X$191</formula1>
    </dataValidation>
    <dataValidation type="whole" operator="greaterThanOrEqual" showInputMessage="1" showErrorMessage="1" sqref="J195:J197" xr:uid="{00000000-0002-0000-0000-000007000000}">
      <formula1>0</formula1>
    </dataValidation>
    <dataValidation type="list" allowBlank="1" showInputMessage="1" showErrorMessage="1" sqref="M122 F4 M186" xr:uid="{00000000-0002-0000-0000-000008000000}">
      <formula1>"AB,BC,SK,MB"</formula1>
    </dataValidation>
    <dataValidation type="list" errorStyle="information" allowBlank="1" showInputMessage="1" showErrorMessage="1" errorTitle="Enter Helicopter Type" error="Enter Type of Helicopter from the following_x000a_206B_x000a_H500D_x000a_ASTAR-B_x000a_ASTAR-BA_x000a_ASTAR-B1_x000a_ASTAR-B2_x000a_B204_x000a_B205_x000a_B212" sqref="J158:J159" xr:uid="{00000000-0002-0000-0000-000009000000}">
      <formula1>$Q$158:$Q$164</formula1>
    </dataValidation>
    <dataValidation type="list" allowBlank="1" showInputMessage="1" showErrorMessage="1" sqref="M158 AV3 P193 N193" xr:uid="{00000000-0002-0000-0000-00000A000000}">
      <formula1>"YES,NO"</formula1>
    </dataValidation>
  </dataValidations>
  <printOptions horizontalCentered="1" verticalCentered="1"/>
  <pageMargins left="0.25" right="0.25" top="0.75" bottom="0.75" header="0.3" footer="0.3"/>
  <pageSetup scale="69" fitToHeight="4" orientation="portrait" verticalDpi="300" r:id="rId1"/>
  <headerFooter alignWithMargins="0">
    <oddHeader xml:space="preserve">&amp;C&amp;"Arial,Bold Italic"&amp;12EAGLE CANADA SEISMIC SERVICES ULC
                                                                                DIVISION OF DAWSON GEOPHYSICAL 
</oddHeader>
  </headerFooter>
  <rowBreaks count="2" manualBreakCount="2">
    <brk id="130" max="51" man="1"/>
    <brk id="189" max="51" man="1"/>
  </rowBreaks>
  <drawing r:id="rId2"/>
  <legacyDrawing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45A5F-4434-469D-8C77-20AC684DF93B}">
  <sheetPr transitionEvaluation="1"/>
  <dimension ref="A1:I119"/>
  <sheetViews>
    <sheetView defaultGridColor="0" view="pageBreakPreview" colorId="22" zoomScaleNormal="100" zoomScaleSheetLayoutView="100" workbookViewId="0">
      <selection activeCell="B115" sqref="B115"/>
    </sheetView>
  </sheetViews>
  <sheetFormatPr defaultColWidth="17.1640625" defaultRowHeight="15"/>
  <cols>
    <col min="1" max="1" width="33.1640625" style="644" customWidth="1"/>
    <col min="2" max="2" width="17.6640625" style="644" customWidth="1"/>
    <col min="3" max="3" width="23.6640625" style="644" customWidth="1"/>
    <col min="4" max="4" width="17.1640625" style="644" customWidth="1"/>
    <col min="5" max="5" width="4.1640625" style="644" customWidth="1"/>
    <col min="6" max="6" width="17.6640625" style="644" customWidth="1"/>
    <col min="7" max="7" width="16.1640625" style="644" customWidth="1"/>
    <col min="8" max="16384" width="17.1640625" style="644"/>
  </cols>
  <sheetData>
    <row r="1" spans="1:9">
      <c r="A1" s="644" t="s">
        <v>653</v>
      </c>
      <c r="B1" s="644" t="s">
        <v>494</v>
      </c>
    </row>
    <row r="2" spans="1:9">
      <c r="A2" s="644" t="s">
        <v>495</v>
      </c>
      <c r="B2" s="644" t="s">
        <v>496</v>
      </c>
      <c r="C2" s="644" t="s">
        <v>497</v>
      </c>
      <c r="D2" s="645">
        <v>6.69</v>
      </c>
      <c r="E2" s="646" t="s">
        <v>498</v>
      </c>
      <c r="F2" s="644" t="s">
        <v>499</v>
      </c>
      <c r="G2" s="646">
        <v>2024</v>
      </c>
      <c r="H2" s="646"/>
    </row>
    <row r="3" spans="1:9">
      <c r="A3" s="644" t="s">
        <v>500</v>
      </c>
      <c r="B3" s="644" t="s">
        <v>501</v>
      </c>
      <c r="C3" s="644" t="s">
        <v>502</v>
      </c>
      <c r="D3" s="647">
        <v>4</v>
      </c>
      <c r="E3" s="646" t="s">
        <v>503</v>
      </c>
      <c r="F3" s="646" t="s">
        <v>504</v>
      </c>
      <c r="G3" s="648">
        <v>0.02</v>
      </c>
      <c r="H3" s="646"/>
    </row>
    <row r="4" spans="1:9">
      <c r="A4" s="644" t="s">
        <v>505</v>
      </c>
      <c r="B4" s="649">
        <v>2.7E-2</v>
      </c>
      <c r="C4" s="644" t="s">
        <v>506</v>
      </c>
      <c r="D4" s="647">
        <v>2</v>
      </c>
      <c r="E4" s="646" t="s">
        <v>503</v>
      </c>
      <c r="F4" s="646" t="s">
        <v>507</v>
      </c>
      <c r="G4" s="650">
        <v>0.25</v>
      </c>
      <c r="H4" s="646"/>
    </row>
    <row r="5" spans="1:9">
      <c r="A5" s="644" t="s">
        <v>508</v>
      </c>
      <c r="B5" s="644" t="s">
        <v>509</v>
      </c>
      <c r="C5" s="644" t="s">
        <v>510</v>
      </c>
      <c r="D5" s="646">
        <v>4125</v>
      </c>
      <c r="E5" s="646"/>
      <c r="F5" s="644" t="s">
        <v>511</v>
      </c>
      <c r="G5" s="644">
        <v>0</v>
      </c>
      <c r="H5" s="646"/>
    </row>
    <row r="6" spans="1:9">
      <c r="A6" s="644" t="s">
        <v>512</v>
      </c>
      <c r="C6" s="644" t="s">
        <v>513</v>
      </c>
      <c r="D6" s="651">
        <v>7.02</v>
      </c>
      <c r="E6" s="646" t="s">
        <v>498</v>
      </c>
      <c r="F6" s="646" t="s">
        <v>514</v>
      </c>
      <c r="G6" s="652">
        <v>2020</v>
      </c>
    </row>
    <row r="7" spans="1:9">
      <c r="A7" s="644" t="s">
        <v>515</v>
      </c>
      <c r="B7" s="653">
        <v>43325</v>
      </c>
      <c r="C7" s="644" t="s">
        <v>516</v>
      </c>
      <c r="D7" s="646">
        <v>0</v>
      </c>
      <c r="E7" s="646" t="s">
        <v>517</v>
      </c>
      <c r="F7" s="646" t="s">
        <v>518</v>
      </c>
      <c r="G7" s="646">
        <f>G6*G4</f>
        <v>505</v>
      </c>
      <c r="H7" s="646"/>
    </row>
    <row r="8" spans="1:9">
      <c r="A8" s="644" t="s">
        <v>519</v>
      </c>
      <c r="B8" s="654"/>
      <c r="C8" s="644" t="s">
        <v>520</v>
      </c>
      <c r="D8" s="646">
        <v>0</v>
      </c>
      <c r="E8" s="646" t="s">
        <v>517</v>
      </c>
      <c r="F8" s="644" t="s">
        <v>521</v>
      </c>
      <c r="G8" s="655">
        <v>0</v>
      </c>
      <c r="H8" s="646"/>
    </row>
    <row r="9" spans="1:9">
      <c r="C9" s="644" t="s">
        <v>522</v>
      </c>
      <c r="D9" s="646">
        <v>100</v>
      </c>
      <c r="E9" s="646" t="s">
        <v>517</v>
      </c>
      <c r="F9" s="646" t="s">
        <v>523</v>
      </c>
      <c r="G9" s="646">
        <v>0</v>
      </c>
      <c r="H9" s="646"/>
    </row>
    <row r="10" spans="1:9">
      <c r="D10" s="646"/>
      <c r="E10" s="646"/>
      <c r="F10" s="646"/>
      <c r="G10" s="646"/>
      <c r="H10" s="646"/>
    </row>
    <row r="11" spans="1:9">
      <c r="A11" s="644" t="s">
        <v>524</v>
      </c>
      <c r="D11" s="646"/>
      <c r="E11" s="646"/>
      <c r="F11" s="646"/>
      <c r="G11" s="646"/>
      <c r="H11" s="646"/>
    </row>
    <row r="12" spans="1:9">
      <c r="A12" s="644" t="s">
        <v>525</v>
      </c>
      <c r="B12" s="644">
        <v>0</v>
      </c>
      <c r="C12" s="644" t="s">
        <v>526</v>
      </c>
      <c r="D12" s="646">
        <v>2000</v>
      </c>
      <c r="E12" s="646" t="s">
        <v>527</v>
      </c>
      <c r="F12" s="646" t="s">
        <v>528</v>
      </c>
      <c r="G12" s="646">
        <f>B12*D12</f>
        <v>0</v>
      </c>
      <c r="H12" s="646"/>
    </row>
    <row r="13" spans="1:9">
      <c r="A13" s="644" t="s">
        <v>529</v>
      </c>
      <c r="B13" s="644">
        <v>0</v>
      </c>
      <c r="C13" s="644" t="s">
        <v>530</v>
      </c>
      <c r="D13" s="646">
        <v>0</v>
      </c>
      <c r="E13" s="646" t="s">
        <v>527</v>
      </c>
      <c r="F13" s="646" t="s">
        <v>531</v>
      </c>
      <c r="G13" s="646">
        <f>B13*D13</f>
        <v>0</v>
      </c>
      <c r="H13" s="646"/>
    </row>
    <row r="14" spans="1:9">
      <c r="A14" s="644" t="s">
        <v>532</v>
      </c>
      <c r="B14" s="644">
        <v>0</v>
      </c>
      <c r="C14" s="644" t="s">
        <v>526</v>
      </c>
      <c r="D14" s="646">
        <v>975</v>
      </c>
      <c r="E14" s="646" t="s">
        <v>527</v>
      </c>
      <c r="F14" s="646" t="s">
        <v>528</v>
      </c>
      <c r="G14" s="646">
        <f>B14*D14</f>
        <v>0</v>
      </c>
      <c r="H14" s="646"/>
    </row>
    <row r="15" spans="1:9">
      <c r="A15" s="644" t="s">
        <v>533</v>
      </c>
      <c r="B15" s="656">
        <v>0</v>
      </c>
      <c r="C15" s="644" t="s">
        <v>534</v>
      </c>
      <c r="D15" s="646">
        <v>750</v>
      </c>
      <c r="E15" s="646" t="s">
        <v>527</v>
      </c>
      <c r="F15" s="646" t="s">
        <v>535</v>
      </c>
      <c r="G15" s="646">
        <f>B15*D15</f>
        <v>0</v>
      </c>
      <c r="H15" s="646"/>
      <c r="I15" s="644" t="s">
        <v>363</v>
      </c>
    </row>
    <row r="16" spans="1:9">
      <c r="A16" s="644" t="s">
        <v>536</v>
      </c>
      <c r="B16" s="656">
        <v>0</v>
      </c>
      <c r="C16" s="644" t="s">
        <v>537</v>
      </c>
      <c r="D16" s="646">
        <v>938</v>
      </c>
      <c r="E16" s="646" t="s">
        <v>527</v>
      </c>
      <c r="F16" s="646" t="s">
        <v>538</v>
      </c>
      <c r="G16" s="646">
        <f>B16*D16</f>
        <v>0</v>
      </c>
      <c r="H16" s="646"/>
    </row>
    <row r="17" spans="1:8">
      <c r="A17" s="644" t="s">
        <v>539</v>
      </c>
      <c r="B17" s="656">
        <v>0</v>
      </c>
      <c r="C17" s="644" t="s">
        <v>534</v>
      </c>
      <c r="D17" s="646">
        <v>375.25</v>
      </c>
      <c r="E17" s="646" t="s">
        <v>527</v>
      </c>
      <c r="F17" s="646" t="s">
        <v>535</v>
      </c>
      <c r="G17" s="646">
        <f>(D17*B17)</f>
        <v>0</v>
      </c>
      <c r="H17" s="646"/>
    </row>
    <row r="18" spans="1:8">
      <c r="D18" s="646"/>
      <c r="E18" s="646"/>
      <c r="F18" s="646" t="s">
        <v>172</v>
      </c>
      <c r="G18" s="646">
        <f>SUM(G12:G17)</f>
        <v>0</v>
      </c>
      <c r="H18" s="646"/>
    </row>
    <row r="19" spans="1:8">
      <c r="D19" s="646"/>
      <c r="E19" s="646"/>
      <c r="F19" s="646" t="s">
        <v>540</v>
      </c>
      <c r="G19" s="646">
        <f>G18/D$2</f>
        <v>0</v>
      </c>
      <c r="H19" s="646"/>
    </row>
    <row r="20" spans="1:8">
      <c r="D20" s="646"/>
      <c r="E20" s="646"/>
      <c r="F20" s="646"/>
      <c r="G20" s="646"/>
      <c r="H20" s="646"/>
    </row>
    <row r="21" spans="1:8">
      <c r="A21" s="644" t="s">
        <v>541</v>
      </c>
      <c r="D21" s="646"/>
      <c r="E21" s="646"/>
      <c r="F21" s="646"/>
      <c r="G21" s="646"/>
      <c r="H21" s="646"/>
    </row>
    <row r="22" spans="1:8">
      <c r="A22" s="644" t="s">
        <v>366</v>
      </c>
      <c r="B22" s="644">
        <v>10</v>
      </c>
      <c r="C22" s="644" t="s">
        <v>526</v>
      </c>
      <c r="D22" s="646">
        <v>800</v>
      </c>
      <c r="E22" s="646" t="s">
        <v>527</v>
      </c>
      <c r="F22" s="646" t="s">
        <v>528</v>
      </c>
      <c r="G22" s="646">
        <f>B22*D22</f>
        <v>8000</v>
      </c>
      <c r="H22" s="646"/>
    </row>
    <row r="23" spans="1:8">
      <c r="A23" s="644" t="s">
        <v>542</v>
      </c>
      <c r="B23" s="644">
        <v>0</v>
      </c>
      <c r="C23" s="644" t="s">
        <v>543</v>
      </c>
      <c r="D23" s="646">
        <v>90</v>
      </c>
      <c r="E23" s="646" t="s">
        <v>527</v>
      </c>
      <c r="F23" s="646" t="s">
        <v>544</v>
      </c>
      <c r="G23" s="646">
        <f>D23*B23</f>
        <v>0</v>
      </c>
      <c r="H23" s="646"/>
    </row>
    <row r="24" spans="1:8">
      <c r="A24" s="644" t="s">
        <v>545</v>
      </c>
      <c r="B24" s="644">
        <v>2</v>
      </c>
      <c r="C24" s="644" t="s">
        <v>526</v>
      </c>
      <c r="D24" s="646">
        <v>1500</v>
      </c>
      <c r="E24" s="646" t="s">
        <v>527</v>
      </c>
      <c r="F24" s="646" t="s">
        <v>531</v>
      </c>
      <c r="G24" s="646">
        <f t="shared" ref="G24:G34" si="0">B24*D24</f>
        <v>3000</v>
      </c>
      <c r="H24" s="646"/>
    </row>
    <row r="25" spans="1:8">
      <c r="A25" s="644" t="s">
        <v>546</v>
      </c>
      <c r="B25" s="644">
        <v>0</v>
      </c>
      <c r="C25" s="644" t="s">
        <v>530</v>
      </c>
      <c r="D25" s="646"/>
      <c r="E25" s="646" t="s">
        <v>527</v>
      </c>
      <c r="F25" s="646" t="s">
        <v>531</v>
      </c>
      <c r="G25" s="646">
        <f t="shared" si="0"/>
        <v>0</v>
      </c>
      <c r="H25" s="646"/>
    </row>
    <row r="26" spans="1:8">
      <c r="A26" s="644" t="s">
        <v>547</v>
      </c>
      <c r="B26" s="644">
        <v>0</v>
      </c>
      <c r="C26" s="644" t="s">
        <v>530</v>
      </c>
      <c r="D26" s="646"/>
      <c r="E26" s="646" t="s">
        <v>527</v>
      </c>
      <c r="F26" s="646" t="s">
        <v>548</v>
      </c>
      <c r="G26" s="646">
        <f t="shared" si="0"/>
        <v>0</v>
      </c>
      <c r="H26" s="646"/>
    </row>
    <row r="27" spans="1:8">
      <c r="A27" s="644" t="s">
        <v>549</v>
      </c>
      <c r="B27" s="644">
        <v>0</v>
      </c>
      <c r="C27" s="644" t="s">
        <v>550</v>
      </c>
      <c r="D27" s="646">
        <v>200</v>
      </c>
      <c r="E27" s="646" t="s">
        <v>527</v>
      </c>
      <c r="F27" s="646" t="s">
        <v>528</v>
      </c>
      <c r="G27" s="646">
        <f t="shared" si="0"/>
        <v>0</v>
      </c>
      <c r="H27" s="646"/>
    </row>
    <row r="28" spans="1:8">
      <c r="A28" s="644" t="s">
        <v>551</v>
      </c>
      <c r="B28" s="644">
        <v>0</v>
      </c>
      <c r="C28" s="644" t="s">
        <v>552</v>
      </c>
      <c r="D28" s="646">
        <v>1100</v>
      </c>
      <c r="E28" s="646" t="s">
        <v>527</v>
      </c>
      <c r="F28" s="646" t="s">
        <v>553</v>
      </c>
      <c r="G28" s="646">
        <f t="shared" si="0"/>
        <v>0</v>
      </c>
      <c r="H28" s="646"/>
    </row>
    <row r="29" spans="1:8">
      <c r="A29" s="644" t="s">
        <v>554</v>
      </c>
      <c r="B29" s="644">
        <v>0</v>
      </c>
      <c r="C29" s="644" t="s">
        <v>534</v>
      </c>
      <c r="D29" s="646">
        <v>1900</v>
      </c>
      <c r="E29" s="646" t="s">
        <v>527</v>
      </c>
      <c r="F29" s="646" t="s">
        <v>535</v>
      </c>
      <c r="G29" s="646">
        <f t="shared" si="0"/>
        <v>0</v>
      </c>
      <c r="H29" s="646"/>
    </row>
    <row r="30" spans="1:8">
      <c r="A30" s="644" t="s">
        <v>555</v>
      </c>
      <c r="B30" s="644">
        <v>0</v>
      </c>
      <c r="C30" s="644" t="s">
        <v>543</v>
      </c>
      <c r="D30" s="646">
        <v>145</v>
      </c>
      <c r="E30" s="646" t="s">
        <v>527</v>
      </c>
      <c r="F30" s="646" t="s">
        <v>535</v>
      </c>
      <c r="G30" s="646">
        <f t="shared" si="0"/>
        <v>0</v>
      </c>
      <c r="H30" s="646"/>
    </row>
    <row r="31" spans="1:8">
      <c r="A31" s="644" t="s">
        <v>556</v>
      </c>
      <c r="B31" s="644">
        <v>0</v>
      </c>
      <c r="C31" s="644" t="s">
        <v>543</v>
      </c>
      <c r="D31" s="646">
        <v>40</v>
      </c>
      <c r="E31" s="646" t="s">
        <v>527</v>
      </c>
      <c r="F31" s="646" t="s">
        <v>544</v>
      </c>
      <c r="G31" s="646">
        <f t="shared" si="0"/>
        <v>0</v>
      </c>
      <c r="H31" s="646"/>
    </row>
    <row r="32" spans="1:8">
      <c r="A32" s="644" t="s">
        <v>557</v>
      </c>
      <c r="B32" s="644">
        <v>0</v>
      </c>
      <c r="C32" s="644" t="s">
        <v>543</v>
      </c>
      <c r="D32" s="646">
        <v>60</v>
      </c>
      <c r="E32" s="646" t="s">
        <v>527</v>
      </c>
      <c r="F32" s="646" t="s">
        <v>544</v>
      </c>
      <c r="G32" s="646">
        <f t="shared" si="0"/>
        <v>0</v>
      </c>
      <c r="H32" s="646"/>
    </row>
    <row r="33" spans="1:8">
      <c r="A33" s="644" t="s">
        <v>558</v>
      </c>
      <c r="B33" s="644">
        <v>10</v>
      </c>
      <c r="C33" s="644" t="s">
        <v>559</v>
      </c>
      <c r="D33" s="646">
        <v>1600</v>
      </c>
      <c r="E33" s="646" t="s">
        <v>527</v>
      </c>
      <c r="F33" s="646" t="s">
        <v>544</v>
      </c>
      <c r="G33" s="646">
        <f t="shared" si="0"/>
        <v>16000</v>
      </c>
      <c r="H33" s="646"/>
    </row>
    <row r="34" spans="1:8">
      <c r="A34" s="644" t="s">
        <v>560</v>
      </c>
      <c r="B34" s="644">
        <v>0</v>
      </c>
      <c r="C34" s="644" t="s">
        <v>530</v>
      </c>
      <c r="D34" s="646">
        <v>175</v>
      </c>
      <c r="E34" s="646" t="s">
        <v>527</v>
      </c>
      <c r="F34" s="646" t="s">
        <v>531</v>
      </c>
      <c r="G34" s="646">
        <f t="shared" si="0"/>
        <v>0</v>
      </c>
      <c r="H34" s="646"/>
    </row>
    <row r="35" spans="1:8">
      <c r="D35" s="646"/>
      <c r="E35" s="646"/>
      <c r="F35" s="646" t="s">
        <v>172</v>
      </c>
      <c r="G35" s="646">
        <f>SUM(G22:G34)</f>
        <v>27000</v>
      </c>
      <c r="H35" s="646"/>
    </row>
    <row r="36" spans="1:8">
      <c r="D36" s="646"/>
      <c r="E36" s="646"/>
      <c r="F36" s="646" t="s">
        <v>540</v>
      </c>
      <c r="G36" s="646">
        <f>G35/(D$2+D6)</f>
        <v>1969.3654266958424</v>
      </c>
      <c r="H36" s="646"/>
    </row>
    <row r="37" spans="1:8">
      <c r="D37" s="646"/>
      <c r="E37" s="646"/>
      <c r="F37" s="646"/>
      <c r="G37" s="646"/>
      <c r="H37" s="646"/>
    </row>
    <row r="38" spans="1:8">
      <c r="A38" s="644" t="s">
        <v>360</v>
      </c>
      <c r="D38" s="646"/>
      <c r="E38" s="646"/>
      <c r="F38" s="646"/>
      <c r="G38" s="646"/>
      <c r="H38" s="646"/>
    </row>
    <row r="39" spans="1:8">
      <c r="A39" s="644" t="s">
        <v>561</v>
      </c>
      <c r="B39" s="644">
        <v>3</v>
      </c>
      <c r="C39" s="644" t="s">
        <v>526</v>
      </c>
      <c r="D39" s="646">
        <v>1000</v>
      </c>
      <c r="E39" s="646" t="s">
        <v>527</v>
      </c>
      <c r="F39" s="646" t="s">
        <v>528</v>
      </c>
      <c r="G39" s="646">
        <f>B39*D39</f>
        <v>3000</v>
      </c>
      <c r="H39" s="646"/>
    </row>
    <row r="40" spans="1:8">
      <c r="A40" s="644" t="s">
        <v>68</v>
      </c>
      <c r="B40" s="644">
        <v>2</v>
      </c>
      <c r="C40" s="644" t="s">
        <v>562</v>
      </c>
      <c r="D40" s="646">
        <v>1000</v>
      </c>
      <c r="E40" s="646" t="s">
        <v>527</v>
      </c>
      <c r="F40" s="646" t="s">
        <v>563</v>
      </c>
      <c r="G40" s="646">
        <f>B40*D40</f>
        <v>2000</v>
      </c>
      <c r="H40" s="646"/>
    </row>
    <row r="41" spans="1:8">
      <c r="A41" s="644" t="s">
        <v>564</v>
      </c>
      <c r="B41" s="644">
        <v>0</v>
      </c>
      <c r="C41" s="644" t="s">
        <v>534</v>
      </c>
      <c r="D41" s="646">
        <v>0</v>
      </c>
      <c r="E41" s="646" t="s">
        <v>527</v>
      </c>
      <c r="F41" s="646" t="s">
        <v>535</v>
      </c>
      <c r="G41" s="646">
        <f t="shared" ref="G41:G49" si="1">B41*D41</f>
        <v>0</v>
      </c>
      <c r="H41" s="646"/>
    </row>
    <row r="42" spans="1:8">
      <c r="A42" s="644" t="s">
        <v>565</v>
      </c>
      <c r="B42" s="644">
        <v>6</v>
      </c>
      <c r="C42" s="644" t="s">
        <v>526</v>
      </c>
      <c r="D42" s="646">
        <v>1500</v>
      </c>
      <c r="E42" s="646" t="s">
        <v>527</v>
      </c>
      <c r="F42" s="646" t="s">
        <v>535</v>
      </c>
      <c r="G42" s="646">
        <f>B42*D42</f>
        <v>9000</v>
      </c>
    </row>
    <row r="43" spans="1:8">
      <c r="A43" s="644" t="s">
        <v>566</v>
      </c>
      <c r="B43" s="644">
        <v>18</v>
      </c>
      <c r="C43" s="644" t="s">
        <v>567</v>
      </c>
      <c r="D43" s="646">
        <v>175</v>
      </c>
      <c r="E43" s="646" t="s">
        <v>527</v>
      </c>
      <c r="F43" s="646" t="s">
        <v>568</v>
      </c>
      <c r="G43" s="646">
        <f>B43*D43</f>
        <v>3150</v>
      </c>
      <c r="H43" s="646"/>
    </row>
    <row r="44" spans="1:8">
      <c r="A44" s="644" t="s">
        <v>569</v>
      </c>
      <c r="B44" s="644">
        <v>0</v>
      </c>
      <c r="C44" s="644" t="s">
        <v>552</v>
      </c>
      <c r="D44" s="646">
        <v>0</v>
      </c>
      <c r="E44" s="646" t="s">
        <v>527</v>
      </c>
      <c r="F44" s="646" t="s">
        <v>553</v>
      </c>
      <c r="G44" s="646">
        <f t="shared" si="1"/>
        <v>0</v>
      </c>
      <c r="H44" s="646"/>
    </row>
    <row r="45" spans="1:8">
      <c r="A45" s="644" t="s">
        <v>251</v>
      </c>
      <c r="B45" s="644">
        <v>0</v>
      </c>
      <c r="C45" s="644" t="s">
        <v>570</v>
      </c>
      <c r="D45" s="646">
        <v>0</v>
      </c>
      <c r="E45" s="646" t="s">
        <v>527</v>
      </c>
      <c r="F45" s="646" t="s">
        <v>571</v>
      </c>
      <c r="G45" s="646">
        <f t="shared" si="1"/>
        <v>0</v>
      </c>
      <c r="H45" s="646"/>
    </row>
    <row r="46" spans="1:8">
      <c r="A46" s="644" t="s">
        <v>572</v>
      </c>
      <c r="B46" s="656"/>
      <c r="C46" s="644" t="s">
        <v>534</v>
      </c>
      <c r="D46" s="646">
        <v>1000</v>
      </c>
      <c r="E46" s="646" t="s">
        <v>527</v>
      </c>
      <c r="F46" s="646" t="s">
        <v>535</v>
      </c>
      <c r="G46" s="646">
        <f t="shared" si="1"/>
        <v>0</v>
      </c>
      <c r="H46" s="646"/>
    </row>
    <row r="47" spans="1:8">
      <c r="A47" s="644" t="s">
        <v>529</v>
      </c>
      <c r="B47" s="644">
        <v>0</v>
      </c>
      <c r="C47" s="644" t="s">
        <v>530</v>
      </c>
      <c r="D47" s="646">
        <v>1165</v>
      </c>
      <c r="E47" s="646" t="s">
        <v>527</v>
      </c>
      <c r="F47" s="646" t="s">
        <v>531</v>
      </c>
      <c r="G47" s="646">
        <f t="shared" si="1"/>
        <v>0</v>
      </c>
      <c r="H47" s="646"/>
    </row>
    <row r="48" spans="1:8">
      <c r="A48" s="644" t="s">
        <v>24</v>
      </c>
      <c r="B48" s="644">
        <v>0</v>
      </c>
      <c r="C48" s="644" t="s">
        <v>573</v>
      </c>
      <c r="D48" s="644">
        <v>0</v>
      </c>
      <c r="G48" s="646">
        <f t="shared" si="1"/>
        <v>0</v>
      </c>
    </row>
    <row r="49" spans="1:8">
      <c r="A49" s="644" t="s">
        <v>574</v>
      </c>
      <c r="B49" s="644">
        <v>0</v>
      </c>
      <c r="C49" s="644" t="s">
        <v>573</v>
      </c>
      <c r="D49" s="644">
        <v>1200</v>
      </c>
      <c r="G49" s="646">
        <f t="shared" si="1"/>
        <v>0</v>
      </c>
    </row>
    <row r="50" spans="1:8">
      <c r="D50" s="646">
        <v>0</v>
      </c>
      <c r="E50" s="646"/>
      <c r="F50" s="646" t="s">
        <v>172</v>
      </c>
      <c r="G50" s="646">
        <f>SUM(G38:G49)</f>
        <v>17150</v>
      </c>
      <c r="H50" s="646"/>
    </row>
    <row r="51" spans="1:8">
      <c r="D51" s="646"/>
      <c r="E51" s="646"/>
      <c r="F51" s="646" t="s">
        <v>540</v>
      </c>
      <c r="G51" s="646">
        <f>G50/(D6)</f>
        <v>2443.0199430199432</v>
      </c>
      <c r="H51" s="646"/>
    </row>
    <row r="52" spans="1:8">
      <c r="D52" s="646"/>
      <c r="E52" s="646"/>
      <c r="F52" s="646"/>
      <c r="G52" s="646"/>
      <c r="H52" s="646"/>
    </row>
    <row r="53" spans="1:8">
      <c r="A53" s="644" t="s">
        <v>375</v>
      </c>
      <c r="D53" s="646"/>
      <c r="E53" s="646"/>
      <c r="F53" s="646"/>
      <c r="G53" s="646"/>
      <c r="H53" s="646"/>
    </row>
    <row r="54" spans="1:8">
      <c r="A54" s="644" t="s">
        <v>372</v>
      </c>
      <c r="C54" s="644" t="s">
        <v>526</v>
      </c>
      <c r="D54" s="646">
        <v>1000</v>
      </c>
      <c r="E54" s="646" t="s">
        <v>527</v>
      </c>
      <c r="F54" s="646" t="s">
        <v>528</v>
      </c>
      <c r="G54" s="646">
        <f t="shared" ref="G54:G62" si="2">B54*D54</f>
        <v>0</v>
      </c>
      <c r="H54" s="646"/>
    </row>
    <row r="55" spans="1:8">
      <c r="A55" s="644" t="s">
        <v>68</v>
      </c>
      <c r="C55" s="644" t="s">
        <v>562</v>
      </c>
      <c r="D55" s="646">
        <v>750</v>
      </c>
      <c r="E55" s="646" t="s">
        <v>527</v>
      </c>
      <c r="F55" s="646" t="s">
        <v>563</v>
      </c>
      <c r="G55" s="646">
        <f t="shared" si="2"/>
        <v>0</v>
      </c>
      <c r="H55" s="646"/>
    </row>
    <row r="56" spans="1:8">
      <c r="A56" s="644" t="s">
        <v>384</v>
      </c>
      <c r="B56" s="644">
        <v>0</v>
      </c>
      <c r="C56" s="644" t="s">
        <v>526</v>
      </c>
      <c r="D56" s="646">
        <v>1200</v>
      </c>
      <c r="E56" s="646" t="s">
        <v>527</v>
      </c>
      <c r="F56" s="646" t="s">
        <v>528</v>
      </c>
      <c r="G56" s="646">
        <f t="shared" si="2"/>
        <v>0</v>
      </c>
      <c r="H56" s="646"/>
    </row>
    <row r="57" spans="1:8">
      <c r="A57" s="644" t="s">
        <v>575</v>
      </c>
      <c r="B57" s="657">
        <f>G6</f>
        <v>2020</v>
      </c>
      <c r="C57" s="644" t="s">
        <v>576</v>
      </c>
      <c r="D57" s="645">
        <v>15</v>
      </c>
      <c r="E57" s="646" t="s">
        <v>527</v>
      </c>
      <c r="F57" s="646" t="s">
        <v>577</v>
      </c>
      <c r="G57" s="646">
        <f t="shared" si="2"/>
        <v>30300</v>
      </c>
      <c r="H57" s="646"/>
    </row>
    <row r="58" spans="1:8">
      <c r="A58" s="644" t="s">
        <v>578</v>
      </c>
      <c r="B58" s="644">
        <v>0</v>
      </c>
      <c r="C58" s="644" t="s">
        <v>579</v>
      </c>
      <c r="D58" s="645">
        <v>300</v>
      </c>
      <c r="E58" s="646" t="s">
        <v>527</v>
      </c>
      <c r="F58" s="646" t="s">
        <v>577</v>
      </c>
      <c r="G58" s="646">
        <f t="shared" si="2"/>
        <v>0</v>
      </c>
      <c r="H58" s="646"/>
    </row>
    <row r="59" spans="1:8">
      <c r="A59" s="644" t="s">
        <v>580</v>
      </c>
      <c r="B59" s="658">
        <v>0</v>
      </c>
      <c r="C59" s="644" t="s">
        <v>579</v>
      </c>
      <c r="D59" s="645">
        <v>3</v>
      </c>
      <c r="E59" s="646" t="s">
        <v>527</v>
      </c>
      <c r="F59" s="646" t="s">
        <v>577</v>
      </c>
      <c r="G59" s="646">
        <f t="shared" si="2"/>
        <v>0</v>
      </c>
      <c r="H59" s="646"/>
    </row>
    <row r="60" spans="1:8">
      <c r="A60" s="644" t="s">
        <v>581</v>
      </c>
      <c r="B60" s="651">
        <f>G6</f>
        <v>2020</v>
      </c>
      <c r="C60" s="644" t="s">
        <v>576</v>
      </c>
      <c r="D60" s="646">
        <v>13</v>
      </c>
      <c r="E60" s="646" t="s">
        <v>527</v>
      </c>
      <c r="F60" s="646" t="s">
        <v>582</v>
      </c>
      <c r="G60" s="646">
        <f t="shared" si="2"/>
        <v>26260</v>
      </c>
      <c r="H60" s="646"/>
    </row>
    <row r="61" spans="1:8">
      <c r="A61" s="644" t="s">
        <v>583</v>
      </c>
      <c r="B61" s="644">
        <v>1</v>
      </c>
      <c r="C61" s="644" t="s">
        <v>584</v>
      </c>
      <c r="D61" s="646">
        <v>1000</v>
      </c>
      <c r="E61" s="646" t="s">
        <v>527</v>
      </c>
      <c r="F61" s="646" t="s">
        <v>568</v>
      </c>
      <c r="G61" s="646">
        <f t="shared" si="2"/>
        <v>1000</v>
      </c>
      <c r="H61" s="646"/>
    </row>
    <row r="62" spans="1:8">
      <c r="A62" s="644" t="s">
        <v>585</v>
      </c>
      <c r="B62" s="644">
        <v>0</v>
      </c>
      <c r="C62" s="644" t="s">
        <v>552</v>
      </c>
      <c r="D62" s="646">
        <v>1200</v>
      </c>
      <c r="E62" s="646" t="s">
        <v>527</v>
      </c>
      <c r="F62" s="646" t="s">
        <v>553</v>
      </c>
      <c r="G62" s="646">
        <f t="shared" si="2"/>
        <v>0</v>
      </c>
      <c r="H62" s="646"/>
    </row>
    <row r="63" spans="1:8">
      <c r="B63" s="644" t="s">
        <v>363</v>
      </c>
      <c r="D63" s="646"/>
      <c r="E63" s="646"/>
      <c r="F63" s="646" t="s">
        <v>172</v>
      </c>
      <c r="G63" s="646">
        <f>SUM(G54:G62)</f>
        <v>57560</v>
      </c>
      <c r="H63" s="646"/>
    </row>
    <row r="64" spans="1:8">
      <c r="D64" s="646"/>
      <c r="E64" s="646"/>
      <c r="F64" s="646" t="s">
        <v>540</v>
      </c>
      <c r="G64" s="646">
        <f>G63/D2</f>
        <v>8603.8863976083703</v>
      </c>
      <c r="H64" s="646"/>
    </row>
    <row r="65" spans="1:8">
      <c r="D65" s="646"/>
      <c r="E65" s="646"/>
      <c r="F65" s="646"/>
      <c r="G65" s="646" t="s">
        <v>363</v>
      </c>
      <c r="H65" s="646"/>
    </row>
    <row r="66" spans="1:8">
      <c r="A66" s="644" t="s">
        <v>586</v>
      </c>
      <c r="D66" s="646"/>
      <c r="E66" s="646"/>
      <c r="F66" s="646"/>
      <c r="G66" s="646"/>
      <c r="H66" s="646"/>
    </row>
    <row r="67" spans="1:8">
      <c r="A67" s="644" t="s">
        <v>587</v>
      </c>
      <c r="B67" s="656"/>
      <c r="C67" s="644" t="s">
        <v>588</v>
      </c>
      <c r="D67" s="644">
        <v>58.9</v>
      </c>
      <c r="E67" s="644" t="s">
        <v>527</v>
      </c>
      <c r="F67" s="644" t="s">
        <v>544</v>
      </c>
      <c r="G67" s="646">
        <v>175750</v>
      </c>
    </row>
    <row r="68" spans="1:8">
      <c r="A68" s="644" t="s">
        <v>68</v>
      </c>
      <c r="C68" s="644" t="s">
        <v>562</v>
      </c>
      <c r="D68" s="646">
        <v>47730</v>
      </c>
      <c r="E68" s="646" t="s">
        <v>527</v>
      </c>
      <c r="F68" s="646" t="s">
        <v>589</v>
      </c>
      <c r="G68" s="646">
        <f t="shared" ref="G68:G79" si="3">B68*D68</f>
        <v>0</v>
      </c>
      <c r="H68" s="646"/>
    </row>
    <row r="69" spans="1:8">
      <c r="A69" s="644" t="s">
        <v>590</v>
      </c>
      <c r="B69" s="644">
        <v>0</v>
      </c>
      <c r="C69" s="644" t="s">
        <v>591</v>
      </c>
      <c r="D69" s="646">
        <v>95</v>
      </c>
      <c r="E69" s="646" t="s">
        <v>527</v>
      </c>
      <c r="F69" s="646" t="s">
        <v>592</v>
      </c>
      <c r="G69" s="646">
        <f t="shared" si="3"/>
        <v>0</v>
      </c>
      <c r="H69" s="646"/>
    </row>
    <row r="70" spans="1:8">
      <c r="A70" s="644" t="s">
        <v>593</v>
      </c>
      <c r="B70" s="644">
        <v>0</v>
      </c>
      <c r="C70" s="644" t="s">
        <v>543</v>
      </c>
      <c r="D70" s="646">
        <v>350</v>
      </c>
      <c r="E70" s="646" t="s">
        <v>527</v>
      </c>
      <c r="F70" s="646" t="s">
        <v>544</v>
      </c>
      <c r="G70" s="646">
        <f t="shared" si="3"/>
        <v>0</v>
      </c>
      <c r="H70" s="646"/>
    </row>
    <row r="71" spans="1:8">
      <c r="A71" s="644" t="s">
        <v>24</v>
      </c>
      <c r="B71" s="644">
        <v>0</v>
      </c>
      <c r="C71" s="644" t="s">
        <v>526</v>
      </c>
      <c r="D71" s="646">
        <v>575</v>
      </c>
      <c r="E71" s="646" t="s">
        <v>527</v>
      </c>
      <c r="F71" s="646" t="s">
        <v>528</v>
      </c>
      <c r="G71" s="646">
        <f t="shared" si="3"/>
        <v>0</v>
      </c>
      <c r="H71" s="646"/>
    </row>
    <row r="72" spans="1:8">
      <c r="A72" s="644" t="s">
        <v>25</v>
      </c>
      <c r="B72" s="644">
        <v>0</v>
      </c>
      <c r="C72" s="644" t="s">
        <v>562</v>
      </c>
      <c r="D72" s="646">
        <v>625</v>
      </c>
      <c r="E72" s="646" t="s">
        <v>527</v>
      </c>
      <c r="F72" s="646" t="s">
        <v>563</v>
      </c>
      <c r="G72" s="646">
        <f t="shared" si="3"/>
        <v>0</v>
      </c>
      <c r="H72" s="646"/>
    </row>
    <row r="73" spans="1:8">
      <c r="A73" s="644" t="s">
        <v>585</v>
      </c>
      <c r="B73" s="644">
        <v>0</v>
      </c>
      <c r="C73" s="644" t="s">
        <v>552</v>
      </c>
      <c r="D73" s="646">
        <v>1200</v>
      </c>
      <c r="E73" s="646" t="s">
        <v>527</v>
      </c>
      <c r="F73" s="646" t="s">
        <v>553</v>
      </c>
      <c r="G73" s="646">
        <f t="shared" si="3"/>
        <v>0</v>
      </c>
      <c r="H73" s="646"/>
    </row>
    <row r="74" spans="1:8">
      <c r="A74" s="644" t="s">
        <v>594</v>
      </c>
      <c r="B74" s="644" t="s">
        <v>363</v>
      </c>
      <c r="C74" s="644" t="s">
        <v>530</v>
      </c>
      <c r="D74" s="646"/>
      <c r="E74" s="646" t="s">
        <v>527</v>
      </c>
      <c r="F74" s="646" t="s">
        <v>531</v>
      </c>
      <c r="G74" s="646">
        <f t="shared" si="3"/>
        <v>0</v>
      </c>
      <c r="H74" s="646"/>
    </row>
    <row r="75" spans="1:8">
      <c r="A75" s="644" t="s">
        <v>595</v>
      </c>
      <c r="B75" s="644">
        <v>0</v>
      </c>
      <c r="C75" s="644" t="s">
        <v>552</v>
      </c>
      <c r="D75" s="646">
        <v>5000</v>
      </c>
      <c r="E75" s="646" t="s">
        <v>527</v>
      </c>
      <c r="F75" s="646" t="s">
        <v>553</v>
      </c>
      <c r="G75" s="646">
        <f t="shared" si="3"/>
        <v>0</v>
      </c>
      <c r="H75" s="646"/>
    </row>
    <row r="76" spans="1:8">
      <c r="A76" s="644" t="s">
        <v>596</v>
      </c>
      <c r="B76" s="644">
        <v>0</v>
      </c>
      <c r="C76" s="644" t="s">
        <v>597</v>
      </c>
      <c r="D76" s="646">
        <v>90</v>
      </c>
      <c r="E76" s="646" t="s">
        <v>527</v>
      </c>
      <c r="F76" s="646" t="s">
        <v>568</v>
      </c>
      <c r="G76" s="646">
        <f t="shared" si="3"/>
        <v>0</v>
      </c>
      <c r="H76" s="646"/>
    </row>
    <row r="77" spans="1:8">
      <c r="A77" s="644" t="s">
        <v>598</v>
      </c>
      <c r="B77" s="644" t="s">
        <v>363</v>
      </c>
      <c r="C77" s="644" t="s">
        <v>530</v>
      </c>
      <c r="D77" s="646"/>
      <c r="E77" s="646" t="s">
        <v>527</v>
      </c>
      <c r="F77" s="646" t="s">
        <v>531</v>
      </c>
      <c r="G77" s="646">
        <f t="shared" si="3"/>
        <v>0</v>
      </c>
      <c r="H77" s="646"/>
    </row>
    <row r="78" spans="1:8">
      <c r="A78" s="644" t="s">
        <v>569</v>
      </c>
      <c r="B78" s="644">
        <v>0</v>
      </c>
      <c r="C78" s="644" t="s">
        <v>552</v>
      </c>
      <c r="D78" s="646">
        <v>1140</v>
      </c>
      <c r="E78" s="646" t="s">
        <v>527</v>
      </c>
      <c r="F78" s="646" t="s">
        <v>553</v>
      </c>
      <c r="G78" s="646">
        <f t="shared" si="3"/>
        <v>0</v>
      </c>
      <c r="H78" s="646"/>
    </row>
    <row r="79" spans="1:8">
      <c r="A79" s="644" t="s">
        <v>599</v>
      </c>
      <c r="B79" s="644">
        <v>0</v>
      </c>
      <c r="C79" s="644" t="s">
        <v>588</v>
      </c>
      <c r="D79" s="646">
        <v>15</v>
      </c>
      <c r="E79" s="646" t="s">
        <v>527</v>
      </c>
      <c r="F79" s="646" t="s">
        <v>531</v>
      </c>
      <c r="G79" s="646">
        <f t="shared" si="3"/>
        <v>0</v>
      </c>
      <c r="H79" s="646"/>
    </row>
    <row r="80" spans="1:8">
      <c r="D80" s="646"/>
      <c r="E80" s="646"/>
      <c r="F80" s="646" t="s">
        <v>172</v>
      </c>
      <c r="G80" s="646">
        <f>SUM(G67:G79)</f>
        <v>175750</v>
      </c>
      <c r="H80" s="646"/>
    </row>
    <row r="81" spans="1:8">
      <c r="D81" s="646"/>
      <c r="E81" s="646"/>
      <c r="F81" s="646" t="s">
        <v>540</v>
      </c>
      <c r="G81" s="646">
        <f>G80/D$2</f>
        <v>26270.553064275035</v>
      </c>
      <c r="H81" s="646"/>
    </row>
    <row r="82" spans="1:8">
      <c r="A82" s="644" t="s">
        <v>600</v>
      </c>
      <c r="D82" s="646"/>
      <c r="E82" s="646"/>
      <c r="F82" s="646"/>
      <c r="G82" s="646"/>
      <c r="H82" s="646"/>
    </row>
    <row r="83" spans="1:8">
      <c r="A83" s="644" t="s">
        <v>601</v>
      </c>
      <c r="D83" s="646"/>
      <c r="E83" s="646"/>
      <c r="F83" s="646"/>
      <c r="G83" s="646"/>
      <c r="H83" s="646"/>
    </row>
    <row r="84" spans="1:8">
      <c r="A84" s="644" t="s">
        <v>602</v>
      </c>
      <c r="C84" s="644" t="s">
        <v>603</v>
      </c>
      <c r="D84" s="646"/>
      <c r="E84" s="646" t="s">
        <v>527</v>
      </c>
      <c r="F84" s="646" t="s">
        <v>604</v>
      </c>
      <c r="G84" s="646">
        <f>B84*D84</f>
        <v>0</v>
      </c>
      <c r="H84" s="646"/>
    </row>
    <row r="85" spans="1:8">
      <c r="A85" s="644" t="s">
        <v>605</v>
      </c>
      <c r="C85" s="644" t="s">
        <v>603</v>
      </c>
      <c r="D85" s="646"/>
      <c r="E85" s="646" t="s">
        <v>527</v>
      </c>
      <c r="F85" s="646" t="s">
        <v>604</v>
      </c>
      <c r="G85" s="646">
        <f>B85*D85</f>
        <v>0</v>
      </c>
      <c r="H85" s="646"/>
    </row>
    <row r="86" spans="1:8">
      <c r="A86" s="644" t="s">
        <v>606</v>
      </c>
      <c r="C86" s="644" t="s">
        <v>607</v>
      </c>
      <c r="D86" s="646"/>
      <c r="E86" s="646" t="s">
        <v>527</v>
      </c>
      <c r="F86" s="646" t="s">
        <v>608</v>
      </c>
      <c r="G86" s="646">
        <f>B86*D86</f>
        <v>0</v>
      </c>
      <c r="H86" s="646"/>
    </row>
    <row r="87" spans="1:8">
      <c r="A87" s="644" t="s">
        <v>609</v>
      </c>
      <c r="B87" s="644">
        <v>0</v>
      </c>
      <c r="C87" s="644" t="s">
        <v>607</v>
      </c>
      <c r="D87" s="646">
        <v>2141</v>
      </c>
      <c r="E87" s="646" t="s">
        <v>527</v>
      </c>
      <c r="F87" s="646" t="s">
        <v>608</v>
      </c>
      <c r="G87" s="646">
        <f>B87*D87</f>
        <v>0</v>
      </c>
      <c r="H87" s="646"/>
    </row>
    <row r="88" spans="1:8">
      <c r="D88" s="646"/>
      <c r="E88" s="646"/>
      <c r="F88" s="646" t="s">
        <v>172</v>
      </c>
      <c r="G88" s="646">
        <f>SUM(G83:G87)</f>
        <v>0</v>
      </c>
      <c r="H88" s="646"/>
    </row>
    <row r="89" spans="1:8">
      <c r="D89" s="646"/>
      <c r="E89" s="646"/>
      <c r="F89" s="646" t="s">
        <v>540</v>
      </c>
      <c r="G89" s="646">
        <f>G88/D$2</f>
        <v>0</v>
      </c>
      <c r="H89" s="646"/>
    </row>
    <row r="90" spans="1:8">
      <c r="A90" s="644" t="s">
        <v>610</v>
      </c>
      <c r="D90" s="646"/>
      <c r="E90" s="646"/>
      <c r="F90" s="646"/>
      <c r="G90" s="646"/>
      <c r="H90" s="646"/>
    </row>
    <row r="91" spans="1:8">
      <c r="A91" s="644" t="s">
        <v>611</v>
      </c>
      <c r="B91" s="644">
        <v>0</v>
      </c>
      <c r="C91" s="644" t="s">
        <v>576</v>
      </c>
      <c r="D91" s="646">
        <v>600</v>
      </c>
      <c r="E91" s="646" t="s">
        <v>527</v>
      </c>
      <c r="F91" s="646" t="s">
        <v>582</v>
      </c>
      <c r="G91" s="646">
        <f>B91*D91</f>
        <v>0</v>
      </c>
      <c r="H91" s="646"/>
    </row>
    <row r="92" spans="1:8">
      <c r="A92" s="644" t="s">
        <v>585</v>
      </c>
      <c r="B92" s="644">
        <v>0</v>
      </c>
      <c r="C92" s="644" t="s">
        <v>526</v>
      </c>
      <c r="D92" s="646">
        <v>1200</v>
      </c>
      <c r="E92" s="646" t="s">
        <v>527</v>
      </c>
      <c r="F92" s="646" t="s">
        <v>528</v>
      </c>
      <c r="G92" s="646">
        <f>B92*D92</f>
        <v>0</v>
      </c>
      <c r="H92" s="646"/>
    </row>
    <row r="93" spans="1:8">
      <c r="A93" s="644" t="s">
        <v>612</v>
      </c>
      <c r="B93" s="644">
        <v>0</v>
      </c>
      <c r="C93" s="644" t="s">
        <v>526</v>
      </c>
      <c r="D93" s="646">
        <v>950</v>
      </c>
      <c r="E93" s="646" t="s">
        <v>527</v>
      </c>
      <c r="F93" s="646" t="s">
        <v>528</v>
      </c>
      <c r="G93" s="646">
        <f>B93*D93</f>
        <v>0</v>
      </c>
      <c r="H93" s="646"/>
    </row>
    <row r="94" spans="1:8">
      <c r="A94" s="644" t="s">
        <v>613</v>
      </c>
      <c r="B94" s="644">
        <v>0</v>
      </c>
      <c r="C94" s="644" t="s">
        <v>614</v>
      </c>
      <c r="D94" s="646">
        <v>7000</v>
      </c>
      <c r="E94" s="646" t="s">
        <v>527</v>
      </c>
      <c r="F94" s="646" t="s">
        <v>528</v>
      </c>
      <c r="G94" s="646">
        <f>B94*D94</f>
        <v>0</v>
      </c>
      <c r="H94" s="646"/>
    </row>
    <row r="95" spans="1:8">
      <c r="A95" s="644" t="s">
        <v>615</v>
      </c>
      <c r="B95" s="644">
        <v>0</v>
      </c>
      <c r="C95" s="644" t="s">
        <v>526</v>
      </c>
      <c r="D95" s="646">
        <v>1600</v>
      </c>
      <c r="E95" s="646" t="s">
        <v>527</v>
      </c>
      <c r="F95" s="646" t="s">
        <v>528</v>
      </c>
      <c r="G95" s="646">
        <f>B95*D95</f>
        <v>0</v>
      </c>
      <c r="H95" s="646"/>
    </row>
    <row r="96" spans="1:8">
      <c r="A96" s="644" t="s">
        <v>616</v>
      </c>
      <c r="B96" s="644">
        <v>0</v>
      </c>
      <c r="C96" s="644" t="s">
        <v>617</v>
      </c>
      <c r="D96" s="644">
        <v>8700</v>
      </c>
      <c r="E96" s="644" t="s">
        <v>527</v>
      </c>
      <c r="F96" s="644" t="s">
        <v>618</v>
      </c>
      <c r="G96" s="646">
        <f>D96*B96</f>
        <v>0</v>
      </c>
      <c r="H96" s="646"/>
    </row>
    <row r="97" spans="1:8">
      <c r="A97" s="644" t="s">
        <v>619</v>
      </c>
      <c r="B97" s="644">
        <v>0</v>
      </c>
      <c r="C97" s="644" t="s">
        <v>620</v>
      </c>
      <c r="D97" s="646">
        <v>4350</v>
      </c>
      <c r="E97" s="646" t="s">
        <v>527</v>
      </c>
      <c r="F97" s="646" t="s">
        <v>621</v>
      </c>
      <c r="G97" s="646">
        <f>D97*B97</f>
        <v>0</v>
      </c>
      <c r="H97" s="646"/>
    </row>
    <row r="98" spans="1:8">
      <c r="A98" s="644" t="s">
        <v>610</v>
      </c>
      <c r="B98" s="644">
        <v>1</v>
      </c>
      <c r="C98" s="644" t="s">
        <v>622</v>
      </c>
      <c r="D98" s="646">
        <v>5000</v>
      </c>
      <c r="E98" s="646" t="s">
        <v>527</v>
      </c>
      <c r="F98" s="646" t="s">
        <v>618</v>
      </c>
      <c r="G98" s="646">
        <f>B98*D98</f>
        <v>5000</v>
      </c>
      <c r="H98" s="646"/>
    </row>
    <row r="99" spans="1:8">
      <c r="A99" s="644" t="s">
        <v>623</v>
      </c>
      <c r="B99" s="644">
        <v>0</v>
      </c>
      <c r="C99" s="644" t="s">
        <v>534</v>
      </c>
      <c r="D99" s="646">
        <v>10</v>
      </c>
      <c r="E99" s="646" t="s">
        <v>527</v>
      </c>
      <c r="F99" s="646" t="s">
        <v>535</v>
      </c>
      <c r="G99" s="646">
        <f>B99*D99</f>
        <v>0</v>
      </c>
      <c r="H99" s="646"/>
    </row>
    <row r="100" spans="1:8">
      <c r="A100" s="644" t="s">
        <v>624</v>
      </c>
      <c r="B100" s="644">
        <v>1</v>
      </c>
      <c r="D100" s="646">
        <v>5000</v>
      </c>
      <c r="E100" s="646"/>
      <c r="F100" s="646"/>
      <c r="G100" s="646">
        <f>B100*D100</f>
        <v>5000</v>
      </c>
      <c r="H100" s="646"/>
    </row>
    <row r="101" spans="1:8">
      <c r="A101" s="644" t="s">
        <v>625</v>
      </c>
      <c r="B101" s="658">
        <f>D5</f>
        <v>4125</v>
      </c>
      <c r="C101" s="644" t="s">
        <v>626</v>
      </c>
      <c r="D101" s="646">
        <v>3</v>
      </c>
      <c r="E101" s="646"/>
      <c r="F101" s="646"/>
      <c r="G101" s="646">
        <v>20000</v>
      </c>
      <c r="H101" s="646"/>
    </row>
    <row r="102" spans="1:8">
      <c r="A102" s="644" t="s">
        <v>627</v>
      </c>
      <c r="B102" s="645">
        <f>G6</f>
        <v>2020</v>
      </c>
      <c r="C102" s="644" t="s">
        <v>628</v>
      </c>
      <c r="D102" s="646">
        <v>6</v>
      </c>
      <c r="E102" s="646" t="s">
        <v>527</v>
      </c>
      <c r="F102" s="646" t="s">
        <v>629</v>
      </c>
      <c r="G102" s="646">
        <f>B102*D102</f>
        <v>12120</v>
      </c>
      <c r="H102" s="646"/>
    </row>
    <row r="103" spans="1:8">
      <c r="B103" s="644" t="s">
        <v>363</v>
      </c>
      <c r="D103" s="646"/>
      <c r="E103" s="646"/>
      <c r="F103" s="646" t="s">
        <v>172</v>
      </c>
      <c r="G103" s="646">
        <f>SUM(G91:G102)</f>
        <v>42120</v>
      </c>
      <c r="H103" s="646"/>
    </row>
    <row r="104" spans="1:8">
      <c r="B104" s="644" t="s">
        <v>363</v>
      </c>
      <c r="D104" s="646"/>
      <c r="E104" s="646"/>
      <c r="F104" s="646" t="s">
        <v>540</v>
      </c>
      <c r="G104" s="646">
        <f>G103/D$2</f>
        <v>6295.9641255605375</v>
      </c>
      <c r="H104" s="646"/>
    </row>
    <row r="105" spans="1:8">
      <c r="B105" s="644" t="s">
        <v>363</v>
      </c>
      <c r="D105" s="646"/>
      <c r="E105" s="646"/>
      <c r="F105" s="646"/>
      <c r="G105" s="646"/>
      <c r="H105" s="646"/>
    </row>
    <row r="106" spans="1:8">
      <c r="A106" s="644" t="s">
        <v>630</v>
      </c>
      <c r="D106" s="646"/>
      <c r="E106" s="646"/>
      <c r="F106" s="646"/>
      <c r="G106" s="646"/>
      <c r="H106" s="646"/>
    </row>
    <row r="107" spans="1:8">
      <c r="A107" s="644" t="s">
        <v>631</v>
      </c>
      <c r="B107" s="644">
        <v>0</v>
      </c>
      <c r="C107" s="644" t="s">
        <v>526</v>
      </c>
      <c r="D107" s="646">
        <v>1200</v>
      </c>
      <c r="E107" s="646"/>
      <c r="F107" s="646" t="s">
        <v>528</v>
      </c>
      <c r="G107" s="646">
        <f>B107*D107</f>
        <v>0</v>
      </c>
      <c r="H107" s="646"/>
    </row>
    <row r="108" spans="1:8">
      <c r="C108" s="644" t="s">
        <v>526</v>
      </c>
      <c r="D108" s="646">
        <v>490</v>
      </c>
      <c r="E108" s="646"/>
      <c r="F108" s="646" t="s">
        <v>528</v>
      </c>
      <c r="G108" s="646">
        <f>B108*D108</f>
        <v>0</v>
      </c>
      <c r="H108" s="646"/>
    </row>
    <row r="109" spans="1:8">
      <c r="A109" s="644" t="s">
        <v>632</v>
      </c>
      <c r="B109" s="644">
        <v>0</v>
      </c>
      <c r="C109" s="644" t="s">
        <v>526</v>
      </c>
      <c r="D109" s="646">
        <v>950</v>
      </c>
      <c r="E109" s="646"/>
      <c r="F109" s="646" t="s">
        <v>528</v>
      </c>
      <c r="G109" s="646">
        <f>B109*D109</f>
        <v>0</v>
      </c>
      <c r="H109" s="646"/>
    </row>
    <row r="110" spans="1:8">
      <c r="B110" s="644" t="s">
        <v>363</v>
      </c>
      <c r="D110" s="644" t="s">
        <v>363</v>
      </c>
      <c r="G110" s="644" t="s">
        <v>363</v>
      </c>
    </row>
    <row r="111" spans="1:8">
      <c r="A111" s="644" t="s">
        <v>633</v>
      </c>
      <c r="D111" s="646"/>
      <c r="E111" s="646"/>
      <c r="F111" s="646"/>
      <c r="G111" s="646" t="s">
        <v>363</v>
      </c>
      <c r="H111" s="646"/>
    </row>
    <row r="112" spans="1:8">
      <c r="F112" s="644" t="s">
        <v>172</v>
      </c>
      <c r="G112" s="644">
        <f>SUM(G107:G111)</f>
        <v>0</v>
      </c>
    </row>
    <row r="113" spans="1:8">
      <c r="D113" s="646"/>
      <c r="E113" s="646"/>
      <c r="F113" s="646" t="s">
        <v>540</v>
      </c>
      <c r="G113" s="646">
        <f>G112/D2</f>
        <v>0</v>
      </c>
      <c r="H113" s="646"/>
    </row>
    <row r="114" spans="1:8">
      <c r="B114" s="644" t="s">
        <v>363</v>
      </c>
      <c r="C114" s="644" t="s">
        <v>363</v>
      </c>
      <c r="D114" s="646"/>
      <c r="E114" s="646"/>
      <c r="F114" s="646"/>
      <c r="G114" s="646"/>
      <c r="H114" s="646"/>
    </row>
    <row r="115" spans="1:8">
      <c r="A115" s="644" t="s">
        <v>363</v>
      </c>
      <c r="B115" s="644" t="s">
        <v>363</v>
      </c>
      <c r="C115" s="644" t="s">
        <v>363</v>
      </c>
      <c r="D115" s="646"/>
      <c r="E115" s="646"/>
      <c r="F115" s="646" t="s">
        <v>634</v>
      </c>
      <c r="G115" s="646">
        <f>G18+G35+G50+G63+G80+G88+G103+G112</f>
        <v>319580</v>
      </c>
      <c r="H115" s="646"/>
    </row>
    <row r="116" spans="1:8">
      <c r="A116" s="644" t="s">
        <v>363</v>
      </c>
      <c r="B116" s="644" t="s">
        <v>363</v>
      </c>
      <c r="C116" s="644" t="s">
        <v>363</v>
      </c>
      <c r="D116" s="646"/>
      <c r="E116" s="646"/>
      <c r="F116" s="646" t="s">
        <v>635</v>
      </c>
      <c r="G116" s="646">
        <f>SUM(G115/B4)</f>
        <v>11836296.296296297</v>
      </c>
      <c r="H116" s="646"/>
    </row>
    <row r="117" spans="1:8">
      <c r="D117" s="646"/>
      <c r="E117" s="646"/>
      <c r="F117" s="646"/>
      <c r="G117" s="646"/>
      <c r="H117" s="646"/>
    </row>
    <row r="118" spans="1:8">
      <c r="D118" s="646"/>
      <c r="E118" s="646"/>
      <c r="F118" s="646" t="s">
        <v>363</v>
      </c>
      <c r="G118" s="646"/>
      <c r="H118" s="646" t="s">
        <v>363</v>
      </c>
    </row>
    <row r="119" spans="1:8">
      <c r="D119" s="646"/>
      <c r="E119" s="646"/>
      <c r="F119" s="646"/>
      <c r="G119" s="646"/>
      <c r="H119" s="646"/>
    </row>
  </sheetData>
  <pageMargins left="0.5" right="0.5" top="0.5" bottom="0.66700000000000004" header="0.5" footer="0.5"/>
  <pageSetup scale="73"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2BC082-D32E-4B01-BF65-BA10C98BED76}">
  <sheetPr codeName="Sheet11"/>
  <dimension ref="A1:BM237"/>
  <sheetViews>
    <sheetView showZeros="0" zoomScaleNormal="100" workbookViewId="0">
      <pane ySplit="7410" topLeftCell="A43"/>
      <selection activeCell="H27" sqref="H27"/>
      <selection pane="bottomLeft" activeCell="G50" sqref="G50"/>
    </sheetView>
  </sheetViews>
  <sheetFormatPr defaultRowHeight="12.75"/>
  <cols>
    <col min="1" max="1" width="4.83203125" style="58" customWidth="1"/>
    <col min="2" max="2" width="4.6640625" style="58" customWidth="1"/>
    <col min="3" max="3" width="22.83203125" style="328" customWidth="1"/>
    <col min="4" max="4" width="11.33203125" style="58" customWidth="1"/>
    <col min="5" max="5" width="12.6640625" style="58" customWidth="1"/>
    <col min="6" max="6" width="16.33203125" style="58" customWidth="1"/>
    <col min="7" max="7" width="15" style="58" customWidth="1"/>
    <col min="8" max="8" width="16.33203125" style="58" customWidth="1"/>
    <col min="9" max="9" width="17.33203125" style="131" customWidth="1"/>
    <col min="10" max="10" width="14" style="132" customWidth="1"/>
    <col min="11" max="13" width="12.6640625" style="58" customWidth="1"/>
    <col min="14" max="15" width="12.6640625" style="63" customWidth="1"/>
    <col min="16" max="27" width="12.6640625" style="58" customWidth="1"/>
    <col min="28" max="28" width="10.6640625" style="58" customWidth="1"/>
    <col min="29" max="256" width="9.33203125" style="58"/>
    <col min="257" max="257" width="4.83203125" style="58" customWidth="1"/>
    <col min="258" max="258" width="4.6640625" style="58" customWidth="1"/>
    <col min="259" max="259" width="22.83203125" style="58" customWidth="1"/>
    <col min="260" max="260" width="11.33203125" style="58" customWidth="1"/>
    <col min="261" max="261" width="12.6640625" style="58" customWidth="1"/>
    <col min="262" max="262" width="16.33203125" style="58" customWidth="1"/>
    <col min="263" max="263" width="15" style="58" customWidth="1"/>
    <col min="264" max="264" width="16.33203125" style="58" customWidth="1"/>
    <col min="265" max="265" width="17.33203125" style="58" customWidth="1"/>
    <col min="266" max="266" width="14" style="58" customWidth="1"/>
    <col min="267" max="283" width="12.6640625" style="58" customWidth="1"/>
    <col min="284" max="284" width="10.6640625" style="58" customWidth="1"/>
    <col min="285" max="512" width="9.33203125" style="58"/>
    <col min="513" max="513" width="4.83203125" style="58" customWidth="1"/>
    <col min="514" max="514" width="4.6640625" style="58" customWidth="1"/>
    <col min="515" max="515" width="22.83203125" style="58" customWidth="1"/>
    <col min="516" max="516" width="11.33203125" style="58" customWidth="1"/>
    <col min="517" max="517" width="12.6640625" style="58" customWidth="1"/>
    <col min="518" max="518" width="16.33203125" style="58" customWidth="1"/>
    <col min="519" max="519" width="15" style="58" customWidth="1"/>
    <col min="520" max="520" width="16.33203125" style="58" customWidth="1"/>
    <col min="521" max="521" width="17.33203125" style="58" customWidth="1"/>
    <col min="522" max="522" width="14" style="58" customWidth="1"/>
    <col min="523" max="539" width="12.6640625" style="58" customWidth="1"/>
    <col min="540" max="540" width="10.6640625" style="58" customWidth="1"/>
    <col min="541" max="768" width="9.33203125" style="58"/>
    <col min="769" max="769" width="4.83203125" style="58" customWidth="1"/>
    <col min="770" max="770" width="4.6640625" style="58" customWidth="1"/>
    <col min="771" max="771" width="22.83203125" style="58" customWidth="1"/>
    <col min="772" max="772" width="11.33203125" style="58" customWidth="1"/>
    <col min="773" max="773" width="12.6640625" style="58" customWidth="1"/>
    <col min="774" max="774" width="16.33203125" style="58" customWidth="1"/>
    <col min="775" max="775" width="15" style="58" customWidth="1"/>
    <col min="776" max="776" width="16.33203125" style="58" customWidth="1"/>
    <col min="777" max="777" width="17.33203125" style="58" customWidth="1"/>
    <col min="778" max="778" width="14" style="58" customWidth="1"/>
    <col min="779" max="795" width="12.6640625" style="58" customWidth="1"/>
    <col min="796" max="796" width="10.6640625" style="58" customWidth="1"/>
    <col min="797" max="1024" width="9.33203125" style="58"/>
    <col min="1025" max="1025" width="4.83203125" style="58" customWidth="1"/>
    <col min="1026" max="1026" width="4.6640625" style="58" customWidth="1"/>
    <col min="1027" max="1027" width="22.83203125" style="58" customWidth="1"/>
    <col min="1028" max="1028" width="11.33203125" style="58" customWidth="1"/>
    <col min="1029" max="1029" width="12.6640625" style="58" customWidth="1"/>
    <col min="1030" max="1030" width="16.33203125" style="58" customWidth="1"/>
    <col min="1031" max="1031" width="15" style="58" customWidth="1"/>
    <col min="1032" max="1032" width="16.33203125" style="58" customWidth="1"/>
    <col min="1033" max="1033" width="17.33203125" style="58" customWidth="1"/>
    <col min="1034" max="1034" width="14" style="58" customWidth="1"/>
    <col min="1035" max="1051" width="12.6640625" style="58" customWidth="1"/>
    <col min="1052" max="1052" width="10.6640625" style="58" customWidth="1"/>
    <col min="1053" max="1280" width="9.33203125" style="58"/>
    <col min="1281" max="1281" width="4.83203125" style="58" customWidth="1"/>
    <col min="1282" max="1282" width="4.6640625" style="58" customWidth="1"/>
    <col min="1283" max="1283" width="22.83203125" style="58" customWidth="1"/>
    <col min="1284" max="1284" width="11.33203125" style="58" customWidth="1"/>
    <col min="1285" max="1285" width="12.6640625" style="58" customWidth="1"/>
    <col min="1286" max="1286" width="16.33203125" style="58" customWidth="1"/>
    <col min="1287" max="1287" width="15" style="58" customWidth="1"/>
    <col min="1288" max="1288" width="16.33203125" style="58" customWidth="1"/>
    <col min="1289" max="1289" width="17.33203125" style="58" customWidth="1"/>
    <col min="1290" max="1290" width="14" style="58" customWidth="1"/>
    <col min="1291" max="1307" width="12.6640625" style="58" customWidth="1"/>
    <col min="1308" max="1308" width="10.6640625" style="58" customWidth="1"/>
    <col min="1309" max="1536" width="9.33203125" style="58"/>
    <col min="1537" max="1537" width="4.83203125" style="58" customWidth="1"/>
    <col min="1538" max="1538" width="4.6640625" style="58" customWidth="1"/>
    <col min="1539" max="1539" width="22.83203125" style="58" customWidth="1"/>
    <col min="1540" max="1540" width="11.33203125" style="58" customWidth="1"/>
    <col min="1541" max="1541" width="12.6640625" style="58" customWidth="1"/>
    <col min="1542" max="1542" width="16.33203125" style="58" customWidth="1"/>
    <col min="1543" max="1543" width="15" style="58" customWidth="1"/>
    <col min="1544" max="1544" width="16.33203125" style="58" customWidth="1"/>
    <col min="1545" max="1545" width="17.33203125" style="58" customWidth="1"/>
    <col min="1546" max="1546" width="14" style="58" customWidth="1"/>
    <col min="1547" max="1563" width="12.6640625" style="58" customWidth="1"/>
    <col min="1564" max="1564" width="10.6640625" style="58" customWidth="1"/>
    <col min="1565" max="1792" width="9.33203125" style="58"/>
    <col min="1793" max="1793" width="4.83203125" style="58" customWidth="1"/>
    <col min="1794" max="1794" width="4.6640625" style="58" customWidth="1"/>
    <col min="1795" max="1795" width="22.83203125" style="58" customWidth="1"/>
    <col min="1796" max="1796" width="11.33203125" style="58" customWidth="1"/>
    <col min="1797" max="1797" width="12.6640625" style="58" customWidth="1"/>
    <col min="1798" max="1798" width="16.33203125" style="58" customWidth="1"/>
    <col min="1799" max="1799" width="15" style="58" customWidth="1"/>
    <col min="1800" max="1800" width="16.33203125" style="58" customWidth="1"/>
    <col min="1801" max="1801" width="17.33203125" style="58" customWidth="1"/>
    <col min="1802" max="1802" width="14" style="58" customWidth="1"/>
    <col min="1803" max="1819" width="12.6640625" style="58" customWidth="1"/>
    <col min="1820" max="1820" width="10.6640625" style="58" customWidth="1"/>
    <col min="1821" max="2048" width="9.33203125" style="58"/>
    <col min="2049" max="2049" width="4.83203125" style="58" customWidth="1"/>
    <col min="2050" max="2050" width="4.6640625" style="58" customWidth="1"/>
    <col min="2051" max="2051" width="22.83203125" style="58" customWidth="1"/>
    <col min="2052" max="2052" width="11.33203125" style="58" customWidth="1"/>
    <col min="2053" max="2053" width="12.6640625" style="58" customWidth="1"/>
    <col min="2054" max="2054" width="16.33203125" style="58" customWidth="1"/>
    <col min="2055" max="2055" width="15" style="58" customWidth="1"/>
    <col min="2056" max="2056" width="16.33203125" style="58" customWidth="1"/>
    <col min="2057" max="2057" width="17.33203125" style="58" customWidth="1"/>
    <col min="2058" max="2058" width="14" style="58" customWidth="1"/>
    <col min="2059" max="2075" width="12.6640625" style="58" customWidth="1"/>
    <col min="2076" max="2076" width="10.6640625" style="58" customWidth="1"/>
    <col min="2077" max="2304" width="9.33203125" style="58"/>
    <col min="2305" max="2305" width="4.83203125" style="58" customWidth="1"/>
    <col min="2306" max="2306" width="4.6640625" style="58" customWidth="1"/>
    <col min="2307" max="2307" width="22.83203125" style="58" customWidth="1"/>
    <col min="2308" max="2308" width="11.33203125" style="58" customWidth="1"/>
    <col min="2309" max="2309" width="12.6640625" style="58" customWidth="1"/>
    <col min="2310" max="2310" width="16.33203125" style="58" customWidth="1"/>
    <col min="2311" max="2311" width="15" style="58" customWidth="1"/>
    <col min="2312" max="2312" width="16.33203125" style="58" customWidth="1"/>
    <col min="2313" max="2313" width="17.33203125" style="58" customWidth="1"/>
    <col min="2314" max="2314" width="14" style="58" customWidth="1"/>
    <col min="2315" max="2331" width="12.6640625" style="58" customWidth="1"/>
    <col min="2332" max="2332" width="10.6640625" style="58" customWidth="1"/>
    <col min="2333" max="2560" width="9.33203125" style="58"/>
    <col min="2561" max="2561" width="4.83203125" style="58" customWidth="1"/>
    <col min="2562" max="2562" width="4.6640625" style="58" customWidth="1"/>
    <col min="2563" max="2563" width="22.83203125" style="58" customWidth="1"/>
    <col min="2564" max="2564" width="11.33203125" style="58" customWidth="1"/>
    <col min="2565" max="2565" width="12.6640625" style="58" customWidth="1"/>
    <col min="2566" max="2566" width="16.33203125" style="58" customWidth="1"/>
    <col min="2567" max="2567" width="15" style="58" customWidth="1"/>
    <col min="2568" max="2568" width="16.33203125" style="58" customWidth="1"/>
    <col min="2569" max="2569" width="17.33203125" style="58" customWidth="1"/>
    <col min="2570" max="2570" width="14" style="58" customWidth="1"/>
    <col min="2571" max="2587" width="12.6640625" style="58" customWidth="1"/>
    <col min="2588" max="2588" width="10.6640625" style="58" customWidth="1"/>
    <col min="2589" max="2816" width="9.33203125" style="58"/>
    <col min="2817" max="2817" width="4.83203125" style="58" customWidth="1"/>
    <col min="2818" max="2818" width="4.6640625" style="58" customWidth="1"/>
    <col min="2819" max="2819" width="22.83203125" style="58" customWidth="1"/>
    <col min="2820" max="2820" width="11.33203125" style="58" customWidth="1"/>
    <col min="2821" max="2821" width="12.6640625" style="58" customWidth="1"/>
    <col min="2822" max="2822" width="16.33203125" style="58" customWidth="1"/>
    <col min="2823" max="2823" width="15" style="58" customWidth="1"/>
    <col min="2824" max="2824" width="16.33203125" style="58" customWidth="1"/>
    <col min="2825" max="2825" width="17.33203125" style="58" customWidth="1"/>
    <col min="2826" max="2826" width="14" style="58" customWidth="1"/>
    <col min="2827" max="2843" width="12.6640625" style="58" customWidth="1"/>
    <col min="2844" max="2844" width="10.6640625" style="58" customWidth="1"/>
    <col min="2845" max="3072" width="9.33203125" style="58"/>
    <col min="3073" max="3073" width="4.83203125" style="58" customWidth="1"/>
    <col min="3074" max="3074" width="4.6640625" style="58" customWidth="1"/>
    <col min="3075" max="3075" width="22.83203125" style="58" customWidth="1"/>
    <col min="3076" max="3076" width="11.33203125" style="58" customWidth="1"/>
    <col min="3077" max="3077" width="12.6640625" style="58" customWidth="1"/>
    <col min="3078" max="3078" width="16.33203125" style="58" customWidth="1"/>
    <col min="3079" max="3079" width="15" style="58" customWidth="1"/>
    <col min="3080" max="3080" width="16.33203125" style="58" customWidth="1"/>
    <col min="3081" max="3081" width="17.33203125" style="58" customWidth="1"/>
    <col min="3082" max="3082" width="14" style="58" customWidth="1"/>
    <col min="3083" max="3099" width="12.6640625" style="58" customWidth="1"/>
    <col min="3100" max="3100" width="10.6640625" style="58" customWidth="1"/>
    <col min="3101" max="3328" width="9.33203125" style="58"/>
    <col min="3329" max="3329" width="4.83203125" style="58" customWidth="1"/>
    <col min="3330" max="3330" width="4.6640625" style="58" customWidth="1"/>
    <col min="3331" max="3331" width="22.83203125" style="58" customWidth="1"/>
    <col min="3332" max="3332" width="11.33203125" style="58" customWidth="1"/>
    <col min="3333" max="3333" width="12.6640625" style="58" customWidth="1"/>
    <col min="3334" max="3334" width="16.33203125" style="58" customWidth="1"/>
    <col min="3335" max="3335" width="15" style="58" customWidth="1"/>
    <col min="3336" max="3336" width="16.33203125" style="58" customWidth="1"/>
    <col min="3337" max="3337" width="17.33203125" style="58" customWidth="1"/>
    <col min="3338" max="3338" width="14" style="58" customWidth="1"/>
    <col min="3339" max="3355" width="12.6640625" style="58" customWidth="1"/>
    <col min="3356" max="3356" width="10.6640625" style="58" customWidth="1"/>
    <col min="3357" max="3584" width="9.33203125" style="58"/>
    <col min="3585" max="3585" width="4.83203125" style="58" customWidth="1"/>
    <col min="3586" max="3586" width="4.6640625" style="58" customWidth="1"/>
    <col min="3587" max="3587" width="22.83203125" style="58" customWidth="1"/>
    <col min="3588" max="3588" width="11.33203125" style="58" customWidth="1"/>
    <col min="3589" max="3589" width="12.6640625" style="58" customWidth="1"/>
    <col min="3590" max="3590" width="16.33203125" style="58" customWidth="1"/>
    <col min="3591" max="3591" width="15" style="58" customWidth="1"/>
    <col min="3592" max="3592" width="16.33203125" style="58" customWidth="1"/>
    <col min="3593" max="3593" width="17.33203125" style="58" customWidth="1"/>
    <col min="3594" max="3594" width="14" style="58" customWidth="1"/>
    <col min="3595" max="3611" width="12.6640625" style="58" customWidth="1"/>
    <col min="3612" max="3612" width="10.6640625" style="58" customWidth="1"/>
    <col min="3613" max="3840" width="9.33203125" style="58"/>
    <col min="3841" max="3841" width="4.83203125" style="58" customWidth="1"/>
    <col min="3842" max="3842" width="4.6640625" style="58" customWidth="1"/>
    <col min="3843" max="3843" width="22.83203125" style="58" customWidth="1"/>
    <col min="3844" max="3844" width="11.33203125" style="58" customWidth="1"/>
    <col min="3845" max="3845" width="12.6640625" style="58" customWidth="1"/>
    <col min="3846" max="3846" width="16.33203125" style="58" customWidth="1"/>
    <col min="3847" max="3847" width="15" style="58" customWidth="1"/>
    <col min="3848" max="3848" width="16.33203125" style="58" customWidth="1"/>
    <col min="3849" max="3849" width="17.33203125" style="58" customWidth="1"/>
    <col min="3850" max="3850" width="14" style="58" customWidth="1"/>
    <col min="3851" max="3867" width="12.6640625" style="58" customWidth="1"/>
    <col min="3868" max="3868" width="10.6640625" style="58" customWidth="1"/>
    <col min="3869" max="4096" width="9.33203125" style="58"/>
    <col min="4097" max="4097" width="4.83203125" style="58" customWidth="1"/>
    <col min="4098" max="4098" width="4.6640625" style="58" customWidth="1"/>
    <col min="4099" max="4099" width="22.83203125" style="58" customWidth="1"/>
    <col min="4100" max="4100" width="11.33203125" style="58" customWidth="1"/>
    <col min="4101" max="4101" width="12.6640625" style="58" customWidth="1"/>
    <col min="4102" max="4102" width="16.33203125" style="58" customWidth="1"/>
    <col min="4103" max="4103" width="15" style="58" customWidth="1"/>
    <col min="4104" max="4104" width="16.33203125" style="58" customWidth="1"/>
    <col min="4105" max="4105" width="17.33203125" style="58" customWidth="1"/>
    <col min="4106" max="4106" width="14" style="58" customWidth="1"/>
    <col min="4107" max="4123" width="12.6640625" style="58" customWidth="1"/>
    <col min="4124" max="4124" width="10.6640625" style="58" customWidth="1"/>
    <col min="4125" max="4352" width="9.33203125" style="58"/>
    <col min="4353" max="4353" width="4.83203125" style="58" customWidth="1"/>
    <col min="4354" max="4354" width="4.6640625" style="58" customWidth="1"/>
    <col min="4355" max="4355" width="22.83203125" style="58" customWidth="1"/>
    <col min="4356" max="4356" width="11.33203125" style="58" customWidth="1"/>
    <col min="4357" max="4357" width="12.6640625" style="58" customWidth="1"/>
    <col min="4358" max="4358" width="16.33203125" style="58" customWidth="1"/>
    <col min="4359" max="4359" width="15" style="58" customWidth="1"/>
    <col min="4360" max="4360" width="16.33203125" style="58" customWidth="1"/>
    <col min="4361" max="4361" width="17.33203125" style="58" customWidth="1"/>
    <col min="4362" max="4362" width="14" style="58" customWidth="1"/>
    <col min="4363" max="4379" width="12.6640625" style="58" customWidth="1"/>
    <col min="4380" max="4380" width="10.6640625" style="58" customWidth="1"/>
    <col min="4381" max="4608" width="9.33203125" style="58"/>
    <col min="4609" max="4609" width="4.83203125" style="58" customWidth="1"/>
    <col min="4610" max="4610" width="4.6640625" style="58" customWidth="1"/>
    <col min="4611" max="4611" width="22.83203125" style="58" customWidth="1"/>
    <col min="4612" max="4612" width="11.33203125" style="58" customWidth="1"/>
    <col min="4613" max="4613" width="12.6640625" style="58" customWidth="1"/>
    <col min="4614" max="4614" width="16.33203125" style="58" customWidth="1"/>
    <col min="4615" max="4615" width="15" style="58" customWidth="1"/>
    <col min="4616" max="4616" width="16.33203125" style="58" customWidth="1"/>
    <col min="4617" max="4617" width="17.33203125" style="58" customWidth="1"/>
    <col min="4618" max="4618" width="14" style="58" customWidth="1"/>
    <col min="4619" max="4635" width="12.6640625" style="58" customWidth="1"/>
    <col min="4636" max="4636" width="10.6640625" style="58" customWidth="1"/>
    <col min="4637" max="4864" width="9.33203125" style="58"/>
    <col min="4865" max="4865" width="4.83203125" style="58" customWidth="1"/>
    <col min="4866" max="4866" width="4.6640625" style="58" customWidth="1"/>
    <col min="4867" max="4867" width="22.83203125" style="58" customWidth="1"/>
    <col min="4868" max="4868" width="11.33203125" style="58" customWidth="1"/>
    <col min="4869" max="4869" width="12.6640625" style="58" customWidth="1"/>
    <col min="4870" max="4870" width="16.33203125" style="58" customWidth="1"/>
    <col min="4871" max="4871" width="15" style="58" customWidth="1"/>
    <col min="4872" max="4872" width="16.33203125" style="58" customWidth="1"/>
    <col min="4873" max="4873" width="17.33203125" style="58" customWidth="1"/>
    <col min="4874" max="4874" width="14" style="58" customWidth="1"/>
    <col min="4875" max="4891" width="12.6640625" style="58" customWidth="1"/>
    <col min="4892" max="4892" width="10.6640625" style="58" customWidth="1"/>
    <col min="4893" max="5120" width="9.33203125" style="58"/>
    <col min="5121" max="5121" width="4.83203125" style="58" customWidth="1"/>
    <col min="5122" max="5122" width="4.6640625" style="58" customWidth="1"/>
    <col min="5123" max="5123" width="22.83203125" style="58" customWidth="1"/>
    <col min="5124" max="5124" width="11.33203125" style="58" customWidth="1"/>
    <col min="5125" max="5125" width="12.6640625" style="58" customWidth="1"/>
    <col min="5126" max="5126" width="16.33203125" style="58" customWidth="1"/>
    <col min="5127" max="5127" width="15" style="58" customWidth="1"/>
    <col min="5128" max="5128" width="16.33203125" style="58" customWidth="1"/>
    <col min="5129" max="5129" width="17.33203125" style="58" customWidth="1"/>
    <col min="5130" max="5130" width="14" style="58" customWidth="1"/>
    <col min="5131" max="5147" width="12.6640625" style="58" customWidth="1"/>
    <col min="5148" max="5148" width="10.6640625" style="58" customWidth="1"/>
    <col min="5149" max="5376" width="9.33203125" style="58"/>
    <col min="5377" max="5377" width="4.83203125" style="58" customWidth="1"/>
    <col min="5378" max="5378" width="4.6640625" style="58" customWidth="1"/>
    <col min="5379" max="5379" width="22.83203125" style="58" customWidth="1"/>
    <col min="5380" max="5380" width="11.33203125" style="58" customWidth="1"/>
    <col min="5381" max="5381" width="12.6640625" style="58" customWidth="1"/>
    <col min="5382" max="5382" width="16.33203125" style="58" customWidth="1"/>
    <col min="5383" max="5383" width="15" style="58" customWidth="1"/>
    <col min="5384" max="5384" width="16.33203125" style="58" customWidth="1"/>
    <col min="5385" max="5385" width="17.33203125" style="58" customWidth="1"/>
    <col min="5386" max="5386" width="14" style="58" customWidth="1"/>
    <col min="5387" max="5403" width="12.6640625" style="58" customWidth="1"/>
    <col min="5404" max="5404" width="10.6640625" style="58" customWidth="1"/>
    <col min="5405" max="5632" width="9.33203125" style="58"/>
    <col min="5633" max="5633" width="4.83203125" style="58" customWidth="1"/>
    <col min="5634" max="5634" width="4.6640625" style="58" customWidth="1"/>
    <col min="5635" max="5635" width="22.83203125" style="58" customWidth="1"/>
    <col min="5636" max="5636" width="11.33203125" style="58" customWidth="1"/>
    <col min="5637" max="5637" width="12.6640625" style="58" customWidth="1"/>
    <col min="5638" max="5638" width="16.33203125" style="58" customWidth="1"/>
    <col min="5639" max="5639" width="15" style="58" customWidth="1"/>
    <col min="5640" max="5640" width="16.33203125" style="58" customWidth="1"/>
    <col min="5641" max="5641" width="17.33203125" style="58" customWidth="1"/>
    <col min="5642" max="5642" width="14" style="58" customWidth="1"/>
    <col min="5643" max="5659" width="12.6640625" style="58" customWidth="1"/>
    <col min="5660" max="5660" width="10.6640625" style="58" customWidth="1"/>
    <col min="5661" max="5888" width="9.33203125" style="58"/>
    <col min="5889" max="5889" width="4.83203125" style="58" customWidth="1"/>
    <col min="5890" max="5890" width="4.6640625" style="58" customWidth="1"/>
    <col min="5891" max="5891" width="22.83203125" style="58" customWidth="1"/>
    <col min="5892" max="5892" width="11.33203125" style="58" customWidth="1"/>
    <col min="5893" max="5893" width="12.6640625" style="58" customWidth="1"/>
    <col min="5894" max="5894" width="16.33203125" style="58" customWidth="1"/>
    <col min="5895" max="5895" width="15" style="58" customWidth="1"/>
    <col min="5896" max="5896" width="16.33203125" style="58" customWidth="1"/>
    <col min="5897" max="5897" width="17.33203125" style="58" customWidth="1"/>
    <col min="5898" max="5898" width="14" style="58" customWidth="1"/>
    <col min="5899" max="5915" width="12.6640625" style="58" customWidth="1"/>
    <col min="5916" max="5916" width="10.6640625" style="58" customWidth="1"/>
    <col min="5917" max="6144" width="9.33203125" style="58"/>
    <col min="6145" max="6145" width="4.83203125" style="58" customWidth="1"/>
    <col min="6146" max="6146" width="4.6640625" style="58" customWidth="1"/>
    <col min="6147" max="6147" width="22.83203125" style="58" customWidth="1"/>
    <col min="6148" max="6148" width="11.33203125" style="58" customWidth="1"/>
    <col min="6149" max="6149" width="12.6640625" style="58" customWidth="1"/>
    <col min="6150" max="6150" width="16.33203125" style="58" customWidth="1"/>
    <col min="6151" max="6151" width="15" style="58" customWidth="1"/>
    <col min="6152" max="6152" width="16.33203125" style="58" customWidth="1"/>
    <col min="6153" max="6153" width="17.33203125" style="58" customWidth="1"/>
    <col min="6154" max="6154" width="14" style="58" customWidth="1"/>
    <col min="6155" max="6171" width="12.6640625" style="58" customWidth="1"/>
    <col min="6172" max="6172" width="10.6640625" style="58" customWidth="1"/>
    <col min="6173" max="6400" width="9.33203125" style="58"/>
    <col min="6401" max="6401" width="4.83203125" style="58" customWidth="1"/>
    <col min="6402" max="6402" width="4.6640625" style="58" customWidth="1"/>
    <col min="6403" max="6403" width="22.83203125" style="58" customWidth="1"/>
    <col min="6404" max="6404" width="11.33203125" style="58" customWidth="1"/>
    <col min="6405" max="6405" width="12.6640625" style="58" customWidth="1"/>
    <col min="6406" max="6406" width="16.33203125" style="58" customWidth="1"/>
    <col min="6407" max="6407" width="15" style="58" customWidth="1"/>
    <col min="6408" max="6408" width="16.33203125" style="58" customWidth="1"/>
    <col min="6409" max="6409" width="17.33203125" style="58" customWidth="1"/>
    <col min="6410" max="6410" width="14" style="58" customWidth="1"/>
    <col min="6411" max="6427" width="12.6640625" style="58" customWidth="1"/>
    <col min="6428" max="6428" width="10.6640625" style="58" customWidth="1"/>
    <col min="6429" max="6656" width="9.33203125" style="58"/>
    <col min="6657" max="6657" width="4.83203125" style="58" customWidth="1"/>
    <col min="6658" max="6658" width="4.6640625" style="58" customWidth="1"/>
    <col min="6659" max="6659" width="22.83203125" style="58" customWidth="1"/>
    <col min="6660" max="6660" width="11.33203125" style="58" customWidth="1"/>
    <col min="6661" max="6661" width="12.6640625" style="58" customWidth="1"/>
    <col min="6662" max="6662" width="16.33203125" style="58" customWidth="1"/>
    <col min="6663" max="6663" width="15" style="58" customWidth="1"/>
    <col min="6664" max="6664" width="16.33203125" style="58" customWidth="1"/>
    <col min="6665" max="6665" width="17.33203125" style="58" customWidth="1"/>
    <col min="6666" max="6666" width="14" style="58" customWidth="1"/>
    <col min="6667" max="6683" width="12.6640625" style="58" customWidth="1"/>
    <col min="6684" max="6684" width="10.6640625" style="58" customWidth="1"/>
    <col min="6685" max="6912" width="9.33203125" style="58"/>
    <col min="6913" max="6913" width="4.83203125" style="58" customWidth="1"/>
    <col min="6914" max="6914" width="4.6640625" style="58" customWidth="1"/>
    <col min="6915" max="6915" width="22.83203125" style="58" customWidth="1"/>
    <col min="6916" max="6916" width="11.33203125" style="58" customWidth="1"/>
    <col min="6917" max="6917" width="12.6640625" style="58" customWidth="1"/>
    <col min="6918" max="6918" width="16.33203125" style="58" customWidth="1"/>
    <col min="6919" max="6919" width="15" style="58" customWidth="1"/>
    <col min="6920" max="6920" width="16.33203125" style="58" customWidth="1"/>
    <col min="6921" max="6921" width="17.33203125" style="58" customWidth="1"/>
    <col min="6922" max="6922" width="14" style="58" customWidth="1"/>
    <col min="6923" max="6939" width="12.6640625" style="58" customWidth="1"/>
    <col min="6940" max="6940" width="10.6640625" style="58" customWidth="1"/>
    <col min="6941" max="7168" width="9.33203125" style="58"/>
    <col min="7169" max="7169" width="4.83203125" style="58" customWidth="1"/>
    <col min="7170" max="7170" width="4.6640625" style="58" customWidth="1"/>
    <col min="7171" max="7171" width="22.83203125" style="58" customWidth="1"/>
    <col min="7172" max="7172" width="11.33203125" style="58" customWidth="1"/>
    <col min="7173" max="7173" width="12.6640625" style="58" customWidth="1"/>
    <col min="7174" max="7174" width="16.33203125" style="58" customWidth="1"/>
    <col min="7175" max="7175" width="15" style="58" customWidth="1"/>
    <col min="7176" max="7176" width="16.33203125" style="58" customWidth="1"/>
    <col min="7177" max="7177" width="17.33203125" style="58" customWidth="1"/>
    <col min="7178" max="7178" width="14" style="58" customWidth="1"/>
    <col min="7179" max="7195" width="12.6640625" style="58" customWidth="1"/>
    <col min="7196" max="7196" width="10.6640625" style="58" customWidth="1"/>
    <col min="7197" max="7424" width="9.33203125" style="58"/>
    <col min="7425" max="7425" width="4.83203125" style="58" customWidth="1"/>
    <col min="7426" max="7426" width="4.6640625" style="58" customWidth="1"/>
    <col min="7427" max="7427" width="22.83203125" style="58" customWidth="1"/>
    <col min="7428" max="7428" width="11.33203125" style="58" customWidth="1"/>
    <col min="7429" max="7429" width="12.6640625" style="58" customWidth="1"/>
    <col min="7430" max="7430" width="16.33203125" style="58" customWidth="1"/>
    <col min="7431" max="7431" width="15" style="58" customWidth="1"/>
    <col min="7432" max="7432" width="16.33203125" style="58" customWidth="1"/>
    <col min="7433" max="7433" width="17.33203125" style="58" customWidth="1"/>
    <col min="7434" max="7434" width="14" style="58" customWidth="1"/>
    <col min="7435" max="7451" width="12.6640625" style="58" customWidth="1"/>
    <col min="7452" max="7452" width="10.6640625" style="58" customWidth="1"/>
    <col min="7453" max="7680" width="9.33203125" style="58"/>
    <col min="7681" max="7681" width="4.83203125" style="58" customWidth="1"/>
    <col min="7682" max="7682" width="4.6640625" style="58" customWidth="1"/>
    <col min="7683" max="7683" width="22.83203125" style="58" customWidth="1"/>
    <col min="7684" max="7684" width="11.33203125" style="58" customWidth="1"/>
    <col min="7685" max="7685" width="12.6640625" style="58" customWidth="1"/>
    <col min="7686" max="7686" width="16.33203125" style="58" customWidth="1"/>
    <col min="7687" max="7687" width="15" style="58" customWidth="1"/>
    <col min="7688" max="7688" width="16.33203125" style="58" customWidth="1"/>
    <col min="7689" max="7689" width="17.33203125" style="58" customWidth="1"/>
    <col min="7690" max="7690" width="14" style="58" customWidth="1"/>
    <col min="7691" max="7707" width="12.6640625" style="58" customWidth="1"/>
    <col min="7708" max="7708" width="10.6640625" style="58" customWidth="1"/>
    <col min="7709" max="7936" width="9.33203125" style="58"/>
    <col min="7937" max="7937" width="4.83203125" style="58" customWidth="1"/>
    <col min="7938" max="7938" width="4.6640625" style="58" customWidth="1"/>
    <col min="7939" max="7939" width="22.83203125" style="58" customWidth="1"/>
    <col min="7940" max="7940" width="11.33203125" style="58" customWidth="1"/>
    <col min="7941" max="7941" width="12.6640625" style="58" customWidth="1"/>
    <col min="7942" max="7942" width="16.33203125" style="58" customWidth="1"/>
    <col min="7943" max="7943" width="15" style="58" customWidth="1"/>
    <col min="7944" max="7944" width="16.33203125" style="58" customWidth="1"/>
    <col min="7945" max="7945" width="17.33203125" style="58" customWidth="1"/>
    <col min="7946" max="7946" width="14" style="58" customWidth="1"/>
    <col min="7947" max="7963" width="12.6640625" style="58" customWidth="1"/>
    <col min="7964" max="7964" width="10.6640625" style="58" customWidth="1"/>
    <col min="7965" max="8192" width="9.33203125" style="58"/>
    <col min="8193" max="8193" width="4.83203125" style="58" customWidth="1"/>
    <col min="8194" max="8194" width="4.6640625" style="58" customWidth="1"/>
    <col min="8195" max="8195" width="22.83203125" style="58" customWidth="1"/>
    <col min="8196" max="8196" width="11.33203125" style="58" customWidth="1"/>
    <col min="8197" max="8197" width="12.6640625" style="58" customWidth="1"/>
    <col min="8198" max="8198" width="16.33203125" style="58" customWidth="1"/>
    <col min="8199" max="8199" width="15" style="58" customWidth="1"/>
    <col min="8200" max="8200" width="16.33203125" style="58" customWidth="1"/>
    <col min="8201" max="8201" width="17.33203125" style="58" customWidth="1"/>
    <col min="8202" max="8202" width="14" style="58" customWidth="1"/>
    <col min="8203" max="8219" width="12.6640625" style="58" customWidth="1"/>
    <col min="8220" max="8220" width="10.6640625" style="58" customWidth="1"/>
    <col min="8221" max="8448" width="9.33203125" style="58"/>
    <col min="8449" max="8449" width="4.83203125" style="58" customWidth="1"/>
    <col min="8450" max="8450" width="4.6640625" style="58" customWidth="1"/>
    <col min="8451" max="8451" width="22.83203125" style="58" customWidth="1"/>
    <col min="8452" max="8452" width="11.33203125" style="58" customWidth="1"/>
    <col min="8453" max="8453" width="12.6640625" style="58" customWidth="1"/>
    <col min="8454" max="8454" width="16.33203125" style="58" customWidth="1"/>
    <col min="8455" max="8455" width="15" style="58" customWidth="1"/>
    <col min="8456" max="8456" width="16.33203125" style="58" customWidth="1"/>
    <col min="8457" max="8457" width="17.33203125" style="58" customWidth="1"/>
    <col min="8458" max="8458" width="14" style="58" customWidth="1"/>
    <col min="8459" max="8475" width="12.6640625" style="58" customWidth="1"/>
    <col min="8476" max="8476" width="10.6640625" style="58" customWidth="1"/>
    <col min="8477" max="8704" width="9.33203125" style="58"/>
    <col min="8705" max="8705" width="4.83203125" style="58" customWidth="1"/>
    <col min="8706" max="8706" width="4.6640625" style="58" customWidth="1"/>
    <col min="8707" max="8707" width="22.83203125" style="58" customWidth="1"/>
    <col min="8708" max="8708" width="11.33203125" style="58" customWidth="1"/>
    <col min="8709" max="8709" width="12.6640625" style="58" customWidth="1"/>
    <col min="8710" max="8710" width="16.33203125" style="58" customWidth="1"/>
    <col min="8711" max="8711" width="15" style="58" customWidth="1"/>
    <col min="8712" max="8712" width="16.33203125" style="58" customWidth="1"/>
    <col min="8713" max="8713" width="17.33203125" style="58" customWidth="1"/>
    <col min="8714" max="8714" width="14" style="58" customWidth="1"/>
    <col min="8715" max="8731" width="12.6640625" style="58" customWidth="1"/>
    <col min="8732" max="8732" width="10.6640625" style="58" customWidth="1"/>
    <col min="8733" max="8960" width="9.33203125" style="58"/>
    <col min="8961" max="8961" width="4.83203125" style="58" customWidth="1"/>
    <col min="8962" max="8962" width="4.6640625" style="58" customWidth="1"/>
    <col min="8963" max="8963" width="22.83203125" style="58" customWidth="1"/>
    <col min="8964" max="8964" width="11.33203125" style="58" customWidth="1"/>
    <col min="8965" max="8965" width="12.6640625" style="58" customWidth="1"/>
    <col min="8966" max="8966" width="16.33203125" style="58" customWidth="1"/>
    <col min="8967" max="8967" width="15" style="58" customWidth="1"/>
    <col min="8968" max="8968" width="16.33203125" style="58" customWidth="1"/>
    <col min="8969" max="8969" width="17.33203125" style="58" customWidth="1"/>
    <col min="8970" max="8970" width="14" style="58" customWidth="1"/>
    <col min="8971" max="8987" width="12.6640625" style="58" customWidth="1"/>
    <col min="8988" max="8988" width="10.6640625" style="58" customWidth="1"/>
    <col min="8989" max="9216" width="9.33203125" style="58"/>
    <col min="9217" max="9217" width="4.83203125" style="58" customWidth="1"/>
    <col min="9218" max="9218" width="4.6640625" style="58" customWidth="1"/>
    <col min="9219" max="9219" width="22.83203125" style="58" customWidth="1"/>
    <col min="9220" max="9220" width="11.33203125" style="58" customWidth="1"/>
    <col min="9221" max="9221" width="12.6640625" style="58" customWidth="1"/>
    <col min="9222" max="9222" width="16.33203125" style="58" customWidth="1"/>
    <col min="9223" max="9223" width="15" style="58" customWidth="1"/>
    <col min="9224" max="9224" width="16.33203125" style="58" customWidth="1"/>
    <col min="9225" max="9225" width="17.33203125" style="58" customWidth="1"/>
    <col min="9226" max="9226" width="14" style="58" customWidth="1"/>
    <col min="9227" max="9243" width="12.6640625" style="58" customWidth="1"/>
    <col min="9244" max="9244" width="10.6640625" style="58" customWidth="1"/>
    <col min="9245" max="9472" width="9.33203125" style="58"/>
    <col min="9473" max="9473" width="4.83203125" style="58" customWidth="1"/>
    <col min="9474" max="9474" width="4.6640625" style="58" customWidth="1"/>
    <col min="9475" max="9475" width="22.83203125" style="58" customWidth="1"/>
    <col min="9476" max="9476" width="11.33203125" style="58" customWidth="1"/>
    <col min="9477" max="9477" width="12.6640625" style="58" customWidth="1"/>
    <col min="9478" max="9478" width="16.33203125" style="58" customWidth="1"/>
    <col min="9479" max="9479" width="15" style="58" customWidth="1"/>
    <col min="9480" max="9480" width="16.33203125" style="58" customWidth="1"/>
    <col min="9481" max="9481" width="17.33203125" style="58" customWidth="1"/>
    <col min="9482" max="9482" width="14" style="58" customWidth="1"/>
    <col min="9483" max="9499" width="12.6640625" style="58" customWidth="1"/>
    <col min="9500" max="9500" width="10.6640625" style="58" customWidth="1"/>
    <col min="9501" max="9728" width="9.33203125" style="58"/>
    <col min="9729" max="9729" width="4.83203125" style="58" customWidth="1"/>
    <col min="9730" max="9730" width="4.6640625" style="58" customWidth="1"/>
    <col min="9731" max="9731" width="22.83203125" style="58" customWidth="1"/>
    <col min="9732" max="9732" width="11.33203125" style="58" customWidth="1"/>
    <col min="9733" max="9733" width="12.6640625" style="58" customWidth="1"/>
    <col min="9734" max="9734" width="16.33203125" style="58" customWidth="1"/>
    <col min="9735" max="9735" width="15" style="58" customWidth="1"/>
    <col min="9736" max="9736" width="16.33203125" style="58" customWidth="1"/>
    <col min="9737" max="9737" width="17.33203125" style="58" customWidth="1"/>
    <col min="9738" max="9738" width="14" style="58" customWidth="1"/>
    <col min="9739" max="9755" width="12.6640625" style="58" customWidth="1"/>
    <col min="9756" max="9756" width="10.6640625" style="58" customWidth="1"/>
    <col min="9757" max="9984" width="9.33203125" style="58"/>
    <col min="9985" max="9985" width="4.83203125" style="58" customWidth="1"/>
    <col min="9986" max="9986" width="4.6640625" style="58" customWidth="1"/>
    <col min="9987" max="9987" width="22.83203125" style="58" customWidth="1"/>
    <col min="9988" max="9988" width="11.33203125" style="58" customWidth="1"/>
    <col min="9989" max="9989" width="12.6640625" style="58" customWidth="1"/>
    <col min="9990" max="9990" width="16.33203125" style="58" customWidth="1"/>
    <col min="9991" max="9991" width="15" style="58" customWidth="1"/>
    <col min="9992" max="9992" width="16.33203125" style="58" customWidth="1"/>
    <col min="9993" max="9993" width="17.33203125" style="58" customWidth="1"/>
    <col min="9994" max="9994" width="14" style="58" customWidth="1"/>
    <col min="9995" max="10011" width="12.6640625" style="58" customWidth="1"/>
    <col min="10012" max="10012" width="10.6640625" style="58" customWidth="1"/>
    <col min="10013" max="10240" width="9.33203125" style="58"/>
    <col min="10241" max="10241" width="4.83203125" style="58" customWidth="1"/>
    <col min="10242" max="10242" width="4.6640625" style="58" customWidth="1"/>
    <col min="10243" max="10243" width="22.83203125" style="58" customWidth="1"/>
    <col min="10244" max="10244" width="11.33203125" style="58" customWidth="1"/>
    <col min="10245" max="10245" width="12.6640625" style="58" customWidth="1"/>
    <col min="10246" max="10246" width="16.33203125" style="58" customWidth="1"/>
    <col min="10247" max="10247" width="15" style="58" customWidth="1"/>
    <col min="10248" max="10248" width="16.33203125" style="58" customWidth="1"/>
    <col min="10249" max="10249" width="17.33203125" style="58" customWidth="1"/>
    <col min="10250" max="10250" width="14" style="58" customWidth="1"/>
    <col min="10251" max="10267" width="12.6640625" style="58" customWidth="1"/>
    <col min="10268" max="10268" width="10.6640625" style="58" customWidth="1"/>
    <col min="10269" max="10496" width="9.33203125" style="58"/>
    <col min="10497" max="10497" width="4.83203125" style="58" customWidth="1"/>
    <col min="10498" max="10498" width="4.6640625" style="58" customWidth="1"/>
    <col min="10499" max="10499" width="22.83203125" style="58" customWidth="1"/>
    <col min="10500" max="10500" width="11.33203125" style="58" customWidth="1"/>
    <col min="10501" max="10501" width="12.6640625" style="58" customWidth="1"/>
    <col min="10502" max="10502" width="16.33203125" style="58" customWidth="1"/>
    <col min="10503" max="10503" width="15" style="58" customWidth="1"/>
    <col min="10504" max="10504" width="16.33203125" style="58" customWidth="1"/>
    <col min="10505" max="10505" width="17.33203125" style="58" customWidth="1"/>
    <col min="10506" max="10506" width="14" style="58" customWidth="1"/>
    <col min="10507" max="10523" width="12.6640625" style="58" customWidth="1"/>
    <col min="10524" max="10524" width="10.6640625" style="58" customWidth="1"/>
    <col min="10525" max="10752" width="9.33203125" style="58"/>
    <col min="10753" max="10753" width="4.83203125" style="58" customWidth="1"/>
    <col min="10754" max="10754" width="4.6640625" style="58" customWidth="1"/>
    <col min="10755" max="10755" width="22.83203125" style="58" customWidth="1"/>
    <col min="10756" max="10756" width="11.33203125" style="58" customWidth="1"/>
    <col min="10757" max="10757" width="12.6640625" style="58" customWidth="1"/>
    <col min="10758" max="10758" width="16.33203125" style="58" customWidth="1"/>
    <col min="10759" max="10759" width="15" style="58" customWidth="1"/>
    <col min="10760" max="10760" width="16.33203125" style="58" customWidth="1"/>
    <col min="10761" max="10761" width="17.33203125" style="58" customWidth="1"/>
    <col min="10762" max="10762" width="14" style="58" customWidth="1"/>
    <col min="10763" max="10779" width="12.6640625" style="58" customWidth="1"/>
    <col min="10780" max="10780" width="10.6640625" style="58" customWidth="1"/>
    <col min="10781" max="11008" width="9.33203125" style="58"/>
    <col min="11009" max="11009" width="4.83203125" style="58" customWidth="1"/>
    <col min="11010" max="11010" width="4.6640625" style="58" customWidth="1"/>
    <col min="11011" max="11011" width="22.83203125" style="58" customWidth="1"/>
    <col min="11012" max="11012" width="11.33203125" style="58" customWidth="1"/>
    <col min="11013" max="11013" width="12.6640625" style="58" customWidth="1"/>
    <col min="11014" max="11014" width="16.33203125" style="58" customWidth="1"/>
    <col min="11015" max="11015" width="15" style="58" customWidth="1"/>
    <col min="11016" max="11016" width="16.33203125" style="58" customWidth="1"/>
    <col min="11017" max="11017" width="17.33203125" style="58" customWidth="1"/>
    <col min="11018" max="11018" width="14" style="58" customWidth="1"/>
    <col min="11019" max="11035" width="12.6640625" style="58" customWidth="1"/>
    <col min="11036" max="11036" width="10.6640625" style="58" customWidth="1"/>
    <col min="11037" max="11264" width="9.33203125" style="58"/>
    <col min="11265" max="11265" width="4.83203125" style="58" customWidth="1"/>
    <col min="11266" max="11266" width="4.6640625" style="58" customWidth="1"/>
    <col min="11267" max="11267" width="22.83203125" style="58" customWidth="1"/>
    <col min="11268" max="11268" width="11.33203125" style="58" customWidth="1"/>
    <col min="11269" max="11269" width="12.6640625" style="58" customWidth="1"/>
    <col min="11270" max="11270" width="16.33203125" style="58" customWidth="1"/>
    <col min="11271" max="11271" width="15" style="58" customWidth="1"/>
    <col min="11272" max="11272" width="16.33203125" style="58" customWidth="1"/>
    <col min="11273" max="11273" width="17.33203125" style="58" customWidth="1"/>
    <col min="11274" max="11274" width="14" style="58" customWidth="1"/>
    <col min="11275" max="11291" width="12.6640625" style="58" customWidth="1"/>
    <col min="11292" max="11292" width="10.6640625" style="58" customWidth="1"/>
    <col min="11293" max="11520" width="9.33203125" style="58"/>
    <col min="11521" max="11521" width="4.83203125" style="58" customWidth="1"/>
    <col min="11522" max="11522" width="4.6640625" style="58" customWidth="1"/>
    <col min="11523" max="11523" width="22.83203125" style="58" customWidth="1"/>
    <col min="11524" max="11524" width="11.33203125" style="58" customWidth="1"/>
    <col min="11525" max="11525" width="12.6640625" style="58" customWidth="1"/>
    <col min="11526" max="11526" width="16.33203125" style="58" customWidth="1"/>
    <col min="11527" max="11527" width="15" style="58" customWidth="1"/>
    <col min="11528" max="11528" width="16.33203125" style="58" customWidth="1"/>
    <col min="11529" max="11529" width="17.33203125" style="58" customWidth="1"/>
    <col min="11530" max="11530" width="14" style="58" customWidth="1"/>
    <col min="11531" max="11547" width="12.6640625" style="58" customWidth="1"/>
    <col min="11548" max="11548" width="10.6640625" style="58" customWidth="1"/>
    <col min="11549" max="11776" width="9.33203125" style="58"/>
    <col min="11777" max="11777" width="4.83203125" style="58" customWidth="1"/>
    <col min="11778" max="11778" width="4.6640625" style="58" customWidth="1"/>
    <col min="11779" max="11779" width="22.83203125" style="58" customWidth="1"/>
    <col min="11780" max="11780" width="11.33203125" style="58" customWidth="1"/>
    <col min="11781" max="11781" width="12.6640625" style="58" customWidth="1"/>
    <col min="11782" max="11782" width="16.33203125" style="58" customWidth="1"/>
    <col min="11783" max="11783" width="15" style="58" customWidth="1"/>
    <col min="11784" max="11784" width="16.33203125" style="58" customWidth="1"/>
    <col min="11785" max="11785" width="17.33203125" style="58" customWidth="1"/>
    <col min="11786" max="11786" width="14" style="58" customWidth="1"/>
    <col min="11787" max="11803" width="12.6640625" style="58" customWidth="1"/>
    <col min="11804" max="11804" width="10.6640625" style="58" customWidth="1"/>
    <col min="11805" max="12032" width="9.33203125" style="58"/>
    <col min="12033" max="12033" width="4.83203125" style="58" customWidth="1"/>
    <col min="12034" max="12034" width="4.6640625" style="58" customWidth="1"/>
    <col min="12035" max="12035" width="22.83203125" style="58" customWidth="1"/>
    <col min="12036" max="12036" width="11.33203125" style="58" customWidth="1"/>
    <col min="12037" max="12037" width="12.6640625" style="58" customWidth="1"/>
    <col min="12038" max="12038" width="16.33203125" style="58" customWidth="1"/>
    <col min="12039" max="12039" width="15" style="58" customWidth="1"/>
    <col min="12040" max="12040" width="16.33203125" style="58" customWidth="1"/>
    <col min="12041" max="12041" width="17.33203125" style="58" customWidth="1"/>
    <col min="12042" max="12042" width="14" style="58" customWidth="1"/>
    <col min="12043" max="12059" width="12.6640625" style="58" customWidth="1"/>
    <col min="12060" max="12060" width="10.6640625" style="58" customWidth="1"/>
    <col min="12061" max="12288" width="9.33203125" style="58"/>
    <col min="12289" max="12289" width="4.83203125" style="58" customWidth="1"/>
    <col min="12290" max="12290" width="4.6640625" style="58" customWidth="1"/>
    <col min="12291" max="12291" width="22.83203125" style="58" customWidth="1"/>
    <col min="12292" max="12292" width="11.33203125" style="58" customWidth="1"/>
    <col min="12293" max="12293" width="12.6640625" style="58" customWidth="1"/>
    <col min="12294" max="12294" width="16.33203125" style="58" customWidth="1"/>
    <col min="12295" max="12295" width="15" style="58" customWidth="1"/>
    <col min="12296" max="12296" width="16.33203125" style="58" customWidth="1"/>
    <col min="12297" max="12297" width="17.33203125" style="58" customWidth="1"/>
    <col min="12298" max="12298" width="14" style="58" customWidth="1"/>
    <col min="12299" max="12315" width="12.6640625" style="58" customWidth="1"/>
    <col min="12316" max="12316" width="10.6640625" style="58" customWidth="1"/>
    <col min="12317" max="12544" width="9.33203125" style="58"/>
    <col min="12545" max="12545" width="4.83203125" style="58" customWidth="1"/>
    <col min="12546" max="12546" width="4.6640625" style="58" customWidth="1"/>
    <col min="12547" max="12547" width="22.83203125" style="58" customWidth="1"/>
    <col min="12548" max="12548" width="11.33203125" style="58" customWidth="1"/>
    <col min="12549" max="12549" width="12.6640625" style="58" customWidth="1"/>
    <col min="12550" max="12550" width="16.33203125" style="58" customWidth="1"/>
    <col min="12551" max="12551" width="15" style="58" customWidth="1"/>
    <col min="12552" max="12552" width="16.33203125" style="58" customWidth="1"/>
    <col min="12553" max="12553" width="17.33203125" style="58" customWidth="1"/>
    <col min="12554" max="12554" width="14" style="58" customWidth="1"/>
    <col min="12555" max="12571" width="12.6640625" style="58" customWidth="1"/>
    <col min="12572" max="12572" width="10.6640625" style="58" customWidth="1"/>
    <col min="12573" max="12800" width="9.33203125" style="58"/>
    <col min="12801" max="12801" width="4.83203125" style="58" customWidth="1"/>
    <col min="12802" max="12802" width="4.6640625" style="58" customWidth="1"/>
    <col min="12803" max="12803" width="22.83203125" style="58" customWidth="1"/>
    <col min="12804" max="12804" width="11.33203125" style="58" customWidth="1"/>
    <col min="12805" max="12805" width="12.6640625" style="58" customWidth="1"/>
    <col min="12806" max="12806" width="16.33203125" style="58" customWidth="1"/>
    <col min="12807" max="12807" width="15" style="58" customWidth="1"/>
    <col min="12808" max="12808" width="16.33203125" style="58" customWidth="1"/>
    <col min="12809" max="12809" width="17.33203125" style="58" customWidth="1"/>
    <col min="12810" max="12810" width="14" style="58" customWidth="1"/>
    <col min="12811" max="12827" width="12.6640625" style="58" customWidth="1"/>
    <col min="12828" max="12828" width="10.6640625" style="58" customWidth="1"/>
    <col min="12829" max="13056" width="9.33203125" style="58"/>
    <col min="13057" max="13057" width="4.83203125" style="58" customWidth="1"/>
    <col min="13058" max="13058" width="4.6640625" style="58" customWidth="1"/>
    <col min="13059" max="13059" width="22.83203125" style="58" customWidth="1"/>
    <col min="13060" max="13060" width="11.33203125" style="58" customWidth="1"/>
    <col min="13061" max="13061" width="12.6640625" style="58" customWidth="1"/>
    <col min="13062" max="13062" width="16.33203125" style="58" customWidth="1"/>
    <col min="13063" max="13063" width="15" style="58" customWidth="1"/>
    <col min="13064" max="13064" width="16.33203125" style="58" customWidth="1"/>
    <col min="13065" max="13065" width="17.33203125" style="58" customWidth="1"/>
    <col min="13066" max="13066" width="14" style="58" customWidth="1"/>
    <col min="13067" max="13083" width="12.6640625" style="58" customWidth="1"/>
    <col min="13084" max="13084" width="10.6640625" style="58" customWidth="1"/>
    <col min="13085" max="13312" width="9.33203125" style="58"/>
    <col min="13313" max="13313" width="4.83203125" style="58" customWidth="1"/>
    <col min="13314" max="13314" width="4.6640625" style="58" customWidth="1"/>
    <col min="13315" max="13315" width="22.83203125" style="58" customWidth="1"/>
    <col min="13316" max="13316" width="11.33203125" style="58" customWidth="1"/>
    <col min="13317" max="13317" width="12.6640625" style="58" customWidth="1"/>
    <col min="13318" max="13318" width="16.33203125" style="58" customWidth="1"/>
    <col min="13319" max="13319" width="15" style="58" customWidth="1"/>
    <col min="13320" max="13320" width="16.33203125" style="58" customWidth="1"/>
    <col min="13321" max="13321" width="17.33203125" style="58" customWidth="1"/>
    <col min="13322" max="13322" width="14" style="58" customWidth="1"/>
    <col min="13323" max="13339" width="12.6640625" style="58" customWidth="1"/>
    <col min="13340" max="13340" width="10.6640625" style="58" customWidth="1"/>
    <col min="13341" max="13568" width="9.33203125" style="58"/>
    <col min="13569" max="13569" width="4.83203125" style="58" customWidth="1"/>
    <col min="13570" max="13570" width="4.6640625" style="58" customWidth="1"/>
    <col min="13571" max="13571" width="22.83203125" style="58" customWidth="1"/>
    <col min="13572" max="13572" width="11.33203125" style="58" customWidth="1"/>
    <col min="13573" max="13573" width="12.6640625" style="58" customWidth="1"/>
    <col min="13574" max="13574" width="16.33203125" style="58" customWidth="1"/>
    <col min="13575" max="13575" width="15" style="58" customWidth="1"/>
    <col min="13576" max="13576" width="16.33203125" style="58" customWidth="1"/>
    <col min="13577" max="13577" width="17.33203125" style="58" customWidth="1"/>
    <col min="13578" max="13578" width="14" style="58" customWidth="1"/>
    <col min="13579" max="13595" width="12.6640625" style="58" customWidth="1"/>
    <col min="13596" max="13596" width="10.6640625" style="58" customWidth="1"/>
    <col min="13597" max="13824" width="9.33203125" style="58"/>
    <col min="13825" max="13825" width="4.83203125" style="58" customWidth="1"/>
    <col min="13826" max="13826" width="4.6640625" style="58" customWidth="1"/>
    <col min="13827" max="13827" width="22.83203125" style="58" customWidth="1"/>
    <col min="13828" max="13828" width="11.33203125" style="58" customWidth="1"/>
    <col min="13829" max="13829" width="12.6640625" style="58" customWidth="1"/>
    <col min="13830" max="13830" width="16.33203125" style="58" customWidth="1"/>
    <col min="13831" max="13831" width="15" style="58" customWidth="1"/>
    <col min="13832" max="13832" width="16.33203125" style="58" customWidth="1"/>
    <col min="13833" max="13833" width="17.33203125" style="58" customWidth="1"/>
    <col min="13834" max="13834" width="14" style="58" customWidth="1"/>
    <col min="13835" max="13851" width="12.6640625" style="58" customWidth="1"/>
    <col min="13852" max="13852" width="10.6640625" style="58" customWidth="1"/>
    <col min="13853" max="14080" width="9.33203125" style="58"/>
    <col min="14081" max="14081" width="4.83203125" style="58" customWidth="1"/>
    <col min="14082" max="14082" width="4.6640625" style="58" customWidth="1"/>
    <col min="14083" max="14083" width="22.83203125" style="58" customWidth="1"/>
    <col min="14084" max="14084" width="11.33203125" style="58" customWidth="1"/>
    <col min="14085" max="14085" width="12.6640625" style="58" customWidth="1"/>
    <col min="14086" max="14086" width="16.33203125" style="58" customWidth="1"/>
    <col min="14087" max="14087" width="15" style="58" customWidth="1"/>
    <col min="14088" max="14088" width="16.33203125" style="58" customWidth="1"/>
    <col min="14089" max="14089" width="17.33203125" style="58" customWidth="1"/>
    <col min="14090" max="14090" width="14" style="58" customWidth="1"/>
    <col min="14091" max="14107" width="12.6640625" style="58" customWidth="1"/>
    <col min="14108" max="14108" width="10.6640625" style="58" customWidth="1"/>
    <col min="14109" max="14336" width="9.33203125" style="58"/>
    <col min="14337" max="14337" width="4.83203125" style="58" customWidth="1"/>
    <col min="14338" max="14338" width="4.6640625" style="58" customWidth="1"/>
    <col min="14339" max="14339" width="22.83203125" style="58" customWidth="1"/>
    <col min="14340" max="14340" width="11.33203125" style="58" customWidth="1"/>
    <col min="14341" max="14341" width="12.6640625" style="58" customWidth="1"/>
    <col min="14342" max="14342" width="16.33203125" style="58" customWidth="1"/>
    <col min="14343" max="14343" width="15" style="58" customWidth="1"/>
    <col min="14344" max="14344" width="16.33203125" style="58" customWidth="1"/>
    <col min="14345" max="14345" width="17.33203125" style="58" customWidth="1"/>
    <col min="14346" max="14346" width="14" style="58" customWidth="1"/>
    <col min="14347" max="14363" width="12.6640625" style="58" customWidth="1"/>
    <col min="14364" max="14364" width="10.6640625" style="58" customWidth="1"/>
    <col min="14365" max="14592" width="9.33203125" style="58"/>
    <col min="14593" max="14593" width="4.83203125" style="58" customWidth="1"/>
    <col min="14594" max="14594" width="4.6640625" style="58" customWidth="1"/>
    <col min="14595" max="14595" width="22.83203125" style="58" customWidth="1"/>
    <col min="14596" max="14596" width="11.33203125" style="58" customWidth="1"/>
    <col min="14597" max="14597" width="12.6640625" style="58" customWidth="1"/>
    <col min="14598" max="14598" width="16.33203125" style="58" customWidth="1"/>
    <col min="14599" max="14599" width="15" style="58" customWidth="1"/>
    <col min="14600" max="14600" width="16.33203125" style="58" customWidth="1"/>
    <col min="14601" max="14601" width="17.33203125" style="58" customWidth="1"/>
    <col min="14602" max="14602" width="14" style="58" customWidth="1"/>
    <col min="14603" max="14619" width="12.6640625" style="58" customWidth="1"/>
    <col min="14620" max="14620" width="10.6640625" style="58" customWidth="1"/>
    <col min="14621" max="14848" width="9.33203125" style="58"/>
    <col min="14849" max="14849" width="4.83203125" style="58" customWidth="1"/>
    <col min="14850" max="14850" width="4.6640625" style="58" customWidth="1"/>
    <col min="14851" max="14851" width="22.83203125" style="58" customWidth="1"/>
    <col min="14852" max="14852" width="11.33203125" style="58" customWidth="1"/>
    <col min="14853" max="14853" width="12.6640625" style="58" customWidth="1"/>
    <col min="14854" max="14854" width="16.33203125" style="58" customWidth="1"/>
    <col min="14855" max="14855" width="15" style="58" customWidth="1"/>
    <col min="14856" max="14856" width="16.33203125" style="58" customWidth="1"/>
    <col min="14857" max="14857" width="17.33203125" style="58" customWidth="1"/>
    <col min="14858" max="14858" width="14" style="58" customWidth="1"/>
    <col min="14859" max="14875" width="12.6640625" style="58" customWidth="1"/>
    <col min="14876" max="14876" width="10.6640625" style="58" customWidth="1"/>
    <col min="14877" max="15104" width="9.33203125" style="58"/>
    <col min="15105" max="15105" width="4.83203125" style="58" customWidth="1"/>
    <col min="15106" max="15106" width="4.6640625" style="58" customWidth="1"/>
    <col min="15107" max="15107" width="22.83203125" style="58" customWidth="1"/>
    <col min="15108" max="15108" width="11.33203125" style="58" customWidth="1"/>
    <col min="15109" max="15109" width="12.6640625" style="58" customWidth="1"/>
    <col min="15110" max="15110" width="16.33203125" style="58" customWidth="1"/>
    <col min="15111" max="15111" width="15" style="58" customWidth="1"/>
    <col min="15112" max="15112" width="16.33203125" style="58" customWidth="1"/>
    <col min="15113" max="15113" width="17.33203125" style="58" customWidth="1"/>
    <col min="15114" max="15114" width="14" style="58" customWidth="1"/>
    <col min="15115" max="15131" width="12.6640625" style="58" customWidth="1"/>
    <col min="15132" max="15132" width="10.6640625" style="58" customWidth="1"/>
    <col min="15133" max="15360" width="9.33203125" style="58"/>
    <col min="15361" max="15361" width="4.83203125" style="58" customWidth="1"/>
    <col min="15362" max="15362" width="4.6640625" style="58" customWidth="1"/>
    <col min="15363" max="15363" width="22.83203125" style="58" customWidth="1"/>
    <col min="15364" max="15364" width="11.33203125" style="58" customWidth="1"/>
    <col min="15365" max="15365" width="12.6640625" style="58" customWidth="1"/>
    <col min="15366" max="15366" width="16.33203125" style="58" customWidth="1"/>
    <col min="15367" max="15367" width="15" style="58" customWidth="1"/>
    <col min="15368" max="15368" width="16.33203125" style="58" customWidth="1"/>
    <col min="15369" max="15369" width="17.33203125" style="58" customWidth="1"/>
    <col min="15370" max="15370" width="14" style="58" customWidth="1"/>
    <col min="15371" max="15387" width="12.6640625" style="58" customWidth="1"/>
    <col min="15388" max="15388" width="10.6640625" style="58" customWidth="1"/>
    <col min="15389" max="15616" width="9.33203125" style="58"/>
    <col min="15617" max="15617" width="4.83203125" style="58" customWidth="1"/>
    <col min="15618" max="15618" width="4.6640625" style="58" customWidth="1"/>
    <col min="15619" max="15619" width="22.83203125" style="58" customWidth="1"/>
    <col min="15620" max="15620" width="11.33203125" style="58" customWidth="1"/>
    <col min="15621" max="15621" width="12.6640625" style="58" customWidth="1"/>
    <col min="15622" max="15622" width="16.33203125" style="58" customWidth="1"/>
    <col min="15623" max="15623" width="15" style="58" customWidth="1"/>
    <col min="15624" max="15624" width="16.33203125" style="58" customWidth="1"/>
    <col min="15625" max="15625" width="17.33203125" style="58" customWidth="1"/>
    <col min="15626" max="15626" width="14" style="58" customWidth="1"/>
    <col min="15627" max="15643" width="12.6640625" style="58" customWidth="1"/>
    <col min="15644" max="15644" width="10.6640625" style="58" customWidth="1"/>
    <col min="15645" max="15872" width="9.33203125" style="58"/>
    <col min="15873" max="15873" width="4.83203125" style="58" customWidth="1"/>
    <col min="15874" max="15874" width="4.6640625" style="58" customWidth="1"/>
    <col min="15875" max="15875" width="22.83203125" style="58" customWidth="1"/>
    <col min="15876" max="15876" width="11.33203125" style="58" customWidth="1"/>
    <col min="15877" max="15877" width="12.6640625" style="58" customWidth="1"/>
    <col min="15878" max="15878" width="16.33203125" style="58" customWidth="1"/>
    <col min="15879" max="15879" width="15" style="58" customWidth="1"/>
    <col min="15880" max="15880" width="16.33203125" style="58" customWidth="1"/>
    <col min="15881" max="15881" width="17.33203125" style="58" customWidth="1"/>
    <col min="15882" max="15882" width="14" style="58" customWidth="1"/>
    <col min="15883" max="15899" width="12.6640625" style="58" customWidth="1"/>
    <col min="15900" max="15900" width="10.6640625" style="58" customWidth="1"/>
    <col min="15901" max="16128" width="9.33203125" style="58"/>
    <col min="16129" max="16129" width="4.83203125" style="58" customWidth="1"/>
    <col min="16130" max="16130" width="4.6640625" style="58" customWidth="1"/>
    <col min="16131" max="16131" width="22.83203125" style="58" customWidth="1"/>
    <col min="16132" max="16132" width="11.33203125" style="58" customWidth="1"/>
    <col min="16133" max="16133" width="12.6640625" style="58" customWidth="1"/>
    <col min="16134" max="16134" width="16.33203125" style="58" customWidth="1"/>
    <col min="16135" max="16135" width="15" style="58" customWidth="1"/>
    <col min="16136" max="16136" width="16.33203125" style="58" customWidth="1"/>
    <col min="16137" max="16137" width="17.33203125" style="58" customWidth="1"/>
    <col min="16138" max="16138" width="14" style="58" customWidth="1"/>
    <col min="16139" max="16155" width="12.6640625" style="58" customWidth="1"/>
    <col min="16156" max="16156" width="10.6640625" style="58" customWidth="1"/>
    <col min="16157" max="16384" width="9.33203125" style="58"/>
  </cols>
  <sheetData>
    <row r="1" spans="1:63" s="62" customFormat="1" ht="15" customHeight="1" thickTop="1" thickBot="1">
      <c r="A1" s="57" t="s">
        <v>0</v>
      </c>
      <c r="B1" s="58"/>
      <c r="C1" s="1057"/>
      <c r="D1" s="1057"/>
      <c r="E1" s="1057"/>
      <c r="F1" s="59" t="s">
        <v>95</v>
      </c>
      <c r="G1" s="60">
        <v>0</v>
      </c>
      <c r="H1" s="1058" t="s">
        <v>104</v>
      </c>
      <c r="I1" s="1059"/>
      <c r="J1" s="61">
        <v>13</v>
      </c>
      <c r="N1" s="63"/>
      <c r="O1" s="63"/>
    </row>
    <row r="2" spans="1:63" s="62" customFormat="1" ht="15" customHeight="1" thickTop="1" thickBot="1">
      <c r="A2" s="57" t="s">
        <v>289</v>
      </c>
      <c r="B2" s="58"/>
      <c r="C2" s="1060"/>
      <c r="D2" s="1060"/>
      <c r="E2" s="1060"/>
      <c r="F2" s="59" t="s">
        <v>2</v>
      </c>
      <c r="G2" s="64" t="s">
        <v>290</v>
      </c>
      <c r="H2" s="1058" t="s">
        <v>105</v>
      </c>
      <c r="I2" s="1059"/>
      <c r="J2" s="65"/>
      <c r="K2" s="66"/>
      <c r="N2" s="63"/>
      <c r="O2" s="63"/>
    </row>
    <row r="3" spans="1:63" ht="15" customHeight="1" thickTop="1" thickBot="1">
      <c r="A3" s="57" t="s">
        <v>1</v>
      </c>
      <c r="C3" s="1061">
        <v>39736</v>
      </c>
      <c r="D3" s="1061"/>
      <c r="F3" s="59" t="s">
        <v>141</v>
      </c>
      <c r="G3" s="55">
        <v>0.08</v>
      </c>
      <c r="H3" s="1058" t="s">
        <v>106</v>
      </c>
      <c r="I3" s="1059"/>
      <c r="J3" s="67">
        <v>12</v>
      </c>
    </row>
    <row r="4" spans="1:63" s="68" customFormat="1" ht="12.75" customHeight="1" thickTop="1">
      <c r="C4" s="69" t="s">
        <v>3</v>
      </c>
      <c r="D4" s="70"/>
      <c r="F4" s="69" t="s">
        <v>4</v>
      </c>
      <c r="G4" s="71">
        <v>7</v>
      </c>
      <c r="I4" s="69" t="s">
        <v>5</v>
      </c>
      <c r="J4" s="72">
        <v>7</v>
      </c>
    </row>
    <row r="5" spans="1:63" s="68" customFormat="1" ht="12.75" customHeight="1">
      <c r="C5" s="69" t="s">
        <v>6</v>
      </c>
      <c r="D5" s="70">
        <v>32.700000000000003</v>
      </c>
      <c r="F5" s="69" t="s">
        <v>7</v>
      </c>
      <c r="G5" s="71">
        <v>17</v>
      </c>
      <c r="I5" s="73" t="s">
        <v>8</v>
      </c>
      <c r="J5" s="74">
        <v>68</v>
      </c>
    </row>
    <row r="6" spans="1:63" s="68" customFormat="1" ht="12.75" customHeight="1">
      <c r="C6" s="69" t="s">
        <v>143</v>
      </c>
      <c r="D6" s="75">
        <f>SUM(D4:D5)</f>
        <v>32.700000000000003</v>
      </c>
      <c r="F6" s="69" t="s">
        <v>9</v>
      </c>
      <c r="G6" s="71"/>
      <c r="I6" s="73" t="s">
        <v>10</v>
      </c>
      <c r="J6" s="74"/>
    </row>
    <row r="7" spans="1:63" s="68" customFormat="1" ht="12.75" customHeight="1">
      <c r="A7" s="76"/>
      <c r="C7" s="69" t="s">
        <v>11</v>
      </c>
      <c r="D7" s="77"/>
      <c r="F7" s="73" t="s">
        <v>12</v>
      </c>
      <c r="G7" s="78">
        <f>(ROUNDUP(IF(D4=0,(D6/G5)*1000,IF(D4&gt;0,(D4/G5)*1000)),-0.1))+G4</f>
        <v>1931</v>
      </c>
      <c r="I7" s="73" t="s">
        <v>13</v>
      </c>
      <c r="J7" s="79">
        <f>ROUNDUP(((D5/J5)*1000)+J4,-0.1)+(J4*D9)</f>
        <v>516</v>
      </c>
    </row>
    <row r="8" spans="1:63" s="68" customFormat="1" ht="12.75" customHeight="1">
      <c r="A8" s="76"/>
      <c r="C8" s="69" t="s">
        <v>14</v>
      </c>
      <c r="D8" s="71">
        <v>1</v>
      </c>
      <c r="G8" s="73" t="s">
        <v>86</v>
      </c>
      <c r="H8" s="80">
        <v>0.5</v>
      </c>
      <c r="I8" s="69" t="s">
        <v>15</v>
      </c>
      <c r="J8" s="81">
        <v>9</v>
      </c>
    </row>
    <row r="9" spans="1:63" s="68" customFormat="1" ht="12.75" customHeight="1">
      <c r="C9" s="69" t="s">
        <v>16</v>
      </c>
      <c r="D9" s="82">
        <v>4</v>
      </c>
      <c r="G9" s="69" t="s">
        <v>17</v>
      </c>
      <c r="H9" s="83" t="s">
        <v>97</v>
      </c>
      <c r="I9" s="69" t="s">
        <v>18</v>
      </c>
      <c r="J9" s="84" t="s">
        <v>97</v>
      </c>
    </row>
    <row r="10" spans="1:63" s="68" customFormat="1" ht="12.75" customHeight="1">
      <c r="A10" s="85"/>
      <c r="B10" s="85"/>
      <c r="D10" s="69" t="s">
        <v>19</v>
      </c>
      <c r="E10" s="71">
        <v>1</v>
      </c>
      <c r="F10" s="86" t="s">
        <v>20</v>
      </c>
      <c r="G10" s="87">
        <v>144</v>
      </c>
      <c r="H10" s="88">
        <f>E10*G10</f>
        <v>144</v>
      </c>
      <c r="I10" s="89" t="s">
        <v>21</v>
      </c>
      <c r="J10" s="90">
        <v>400</v>
      </c>
    </row>
    <row r="11" spans="1:63" s="68" customFormat="1" ht="3.75" customHeight="1" thickBot="1">
      <c r="A11" s="91"/>
      <c r="B11" s="91"/>
      <c r="D11" s="92"/>
      <c r="E11" s="93"/>
      <c r="F11" s="94"/>
      <c r="G11" s="95"/>
      <c r="H11" s="96"/>
      <c r="I11" s="97"/>
      <c r="J11" s="98"/>
    </row>
    <row r="12" spans="1:63" ht="15" customHeight="1" thickBot="1">
      <c r="A12" s="1084" t="s">
        <v>116</v>
      </c>
      <c r="B12" s="1084" t="s">
        <v>115</v>
      </c>
      <c r="C12" s="1087" t="s">
        <v>103</v>
      </c>
      <c r="D12" s="1088"/>
      <c r="E12" s="48"/>
      <c r="F12" s="1089" t="s">
        <v>104</v>
      </c>
      <c r="G12" s="1090"/>
      <c r="H12" s="1091" t="s">
        <v>105</v>
      </c>
      <c r="I12" s="1092"/>
      <c r="J12" s="99" t="s">
        <v>98</v>
      </c>
      <c r="K12" s="1093" t="s">
        <v>291</v>
      </c>
      <c r="L12" s="1094"/>
      <c r="M12" s="1094"/>
      <c r="N12" s="1094"/>
      <c r="O12" s="1094"/>
      <c r="P12" s="1094"/>
      <c r="Q12" s="1094"/>
      <c r="R12" s="1094"/>
      <c r="S12" s="1094"/>
      <c r="T12" s="1094"/>
      <c r="U12" s="1094"/>
      <c r="V12" s="1094"/>
      <c r="W12" s="1094"/>
      <c r="X12" s="1094"/>
      <c r="Y12" s="1094"/>
      <c r="Z12" s="1094"/>
      <c r="AA12" s="1095"/>
      <c r="AC12" s="1078" t="s">
        <v>292</v>
      </c>
      <c r="AD12" s="1079"/>
      <c r="AE12" s="1079"/>
      <c r="AF12" s="1079"/>
      <c r="AG12" s="1079"/>
      <c r="AH12" s="1079"/>
      <c r="AI12" s="1079"/>
      <c r="AJ12" s="1079"/>
      <c r="AK12" s="1079"/>
      <c r="AL12" s="1079"/>
      <c r="AM12" s="1079"/>
      <c r="AN12" s="1079"/>
      <c r="AO12" s="1079"/>
      <c r="AP12" s="1079"/>
      <c r="AQ12" s="1079"/>
      <c r="AR12" s="1079"/>
      <c r="AS12" s="1080"/>
      <c r="AU12" s="1081" t="s">
        <v>293</v>
      </c>
      <c r="AV12" s="1082"/>
      <c r="AW12" s="1082"/>
      <c r="AX12" s="1082"/>
      <c r="AY12" s="1082"/>
      <c r="AZ12" s="1082"/>
      <c r="BA12" s="1082"/>
      <c r="BB12" s="1082"/>
      <c r="BC12" s="1082"/>
      <c r="BD12" s="1082"/>
      <c r="BE12" s="1082"/>
      <c r="BF12" s="1082"/>
      <c r="BG12" s="1082"/>
      <c r="BH12" s="1082"/>
      <c r="BI12" s="1082"/>
      <c r="BJ12" s="1082"/>
      <c r="BK12" s="1083"/>
    </row>
    <row r="13" spans="1:63" s="68" customFormat="1" ht="15" customHeight="1" thickBot="1">
      <c r="A13" s="1086"/>
      <c r="B13" s="1086"/>
      <c r="C13" s="100" t="s">
        <v>102</v>
      </c>
      <c r="D13" s="101" t="s">
        <v>99</v>
      </c>
      <c r="E13" s="101" t="s">
        <v>100</v>
      </c>
      <c r="F13" s="102" t="s">
        <v>32</v>
      </c>
      <c r="G13" s="103" t="s">
        <v>109</v>
      </c>
      <c r="H13" s="104" t="s">
        <v>99</v>
      </c>
      <c r="I13" s="105" t="s">
        <v>109</v>
      </c>
      <c r="J13" s="106" t="s">
        <v>109</v>
      </c>
      <c r="K13" s="107"/>
      <c r="L13" s="108" t="s">
        <v>294</v>
      </c>
      <c r="M13" s="109"/>
      <c r="N13" s="109"/>
      <c r="O13" s="110"/>
      <c r="P13" s="108" t="s">
        <v>295</v>
      </c>
      <c r="Q13" s="111"/>
      <c r="R13" s="111"/>
      <c r="S13" s="112"/>
      <c r="T13" s="113" t="s">
        <v>296</v>
      </c>
      <c r="U13" s="109"/>
      <c r="V13" s="109"/>
      <c r="W13" s="110"/>
      <c r="X13" s="113" t="s">
        <v>297</v>
      </c>
      <c r="Y13" s="109"/>
      <c r="Z13" s="109"/>
      <c r="AA13" s="110"/>
      <c r="AC13" s="107"/>
      <c r="AD13" s="108" t="s">
        <v>294</v>
      </c>
      <c r="AE13" s="109"/>
      <c r="AF13" s="109"/>
      <c r="AG13" s="110"/>
      <c r="AH13" s="108" t="s">
        <v>295</v>
      </c>
      <c r="AI13" s="111"/>
      <c r="AJ13" s="111"/>
      <c r="AK13" s="112"/>
      <c r="AL13" s="113" t="s">
        <v>296</v>
      </c>
      <c r="AM13" s="109"/>
      <c r="AN13" s="109"/>
      <c r="AO13" s="110"/>
      <c r="AP13" s="113" t="s">
        <v>297</v>
      </c>
      <c r="AQ13" s="109"/>
      <c r="AR13" s="109"/>
      <c r="AS13" s="110"/>
      <c r="AU13" s="107"/>
      <c r="AV13" s="108" t="s">
        <v>294</v>
      </c>
      <c r="AW13" s="109"/>
      <c r="AX13" s="109"/>
      <c r="AY13" s="110"/>
      <c r="AZ13" s="108" t="s">
        <v>295</v>
      </c>
      <c r="BA13" s="111"/>
      <c r="BB13" s="111"/>
      <c r="BC13" s="112"/>
      <c r="BD13" s="113" t="s">
        <v>296</v>
      </c>
      <c r="BE13" s="109"/>
      <c r="BF13" s="109"/>
      <c r="BG13" s="110"/>
      <c r="BH13" s="113" t="s">
        <v>297</v>
      </c>
      <c r="BI13" s="109"/>
      <c r="BJ13" s="109"/>
      <c r="BK13" s="110"/>
    </row>
    <row r="14" spans="1:63" s="68" customFormat="1" ht="12.75" customHeight="1">
      <c r="A14" s="114" t="s">
        <v>22</v>
      </c>
      <c r="B14" s="114" t="s">
        <v>22</v>
      </c>
      <c r="C14" s="115" t="s">
        <v>23</v>
      </c>
      <c r="D14" s="116">
        <v>1</v>
      </c>
      <c r="E14" s="117">
        <v>600</v>
      </c>
      <c r="F14" s="18">
        <f t="shared" ref="F14:F30" si="0">D14*E14</f>
        <v>600</v>
      </c>
      <c r="G14" s="28">
        <f t="shared" ref="G14:G31" si="1">F14/$J$1</f>
        <v>46.153846153846153</v>
      </c>
      <c r="H14" s="118"/>
      <c r="I14" s="40">
        <f t="shared" ref="I14:I31" si="2">IF($J$2=0,0,(H14*E14)/$J$2)</f>
        <v>0</v>
      </c>
      <c r="J14" s="40">
        <f t="shared" ref="J14:J31" si="3">IF($J$3=0,0,IF(B14="X",IF(F14&gt;0,(F14/$J$3))))</f>
        <v>50</v>
      </c>
      <c r="K14" s="119">
        <f t="shared" ref="K14:K31" si="4">MAX(IF($G$2="AB",L14:O14,IF($G$2="BC",P14:S14,IF($G$2="SK",T14:W14,IF($G$2="MN",X14:AA14)))))</f>
        <v>404.73090000000002</v>
      </c>
      <c r="L14" s="119">
        <v>0</v>
      </c>
      <c r="M14" s="119">
        <v>0</v>
      </c>
      <c r="N14" s="119">
        <v>15.72363402197802</v>
      </c>
      <c r="O14" s="119">
        <v>457.46796000000001</v>
      </c>
      <c r="P14" s="119">
        <v>0</v>
      </c>
      <c r="Q14" s="119">
        <v>0</v>
      </c>
      <c r="R14" s="119">
        <v>17.053339648351649</v>
      </c>
      <c r="S14" s="119">
        <v>404.73090000000002</v>
      </c>
      <c r="T14" s="119">
        <v>0</v>
      </c>
      <c r="U14" s="119">
        <v>0</v>
      </c>
      <c r="V14" s="119">
        <v>16.314706087912086</v>
      </c>
      <c r="W14" s="119">
        <v>405.48060000000004</v>
      </c>
      <c r="X14" s="119">
        <v>0</v>
      </c>
      <c r="Y14" s="119">
        <v>0</v>
      </c>
      <c r="Z14" s="119">
        <v>16.382217197802198</v>
      </c>
      <c r="AA14" s="119">
        <v>407.15850000000006</v>
      </c>
      <c r="AC14" s="119">
        <f t="shared" ref="AC14:AC32" si="5">MAX(IF($G$2="AB",AD14:AG14,IF($G$2="BC",AH14:AK14,IF($G$2="SK",AL14:AO14,IF($G$2="MN",AP14:AS14)))))</f>
        <v>404.73090000000002</v>
      </c>
      <c r="AD14" s="119">
        <v>0</v>
      </c>
      <c r="AE14" s="119">
        <v>0</v>
      </c>
      <c r="AF14" s="119">
        <v>0</v>
      </c>
      <c r="AG14" s="119">
        <v>457.46796000000001</v>
      </c>
      <c r="AH14" s="119">
        <v>0</v>
      </c>
      <c r="AI14" s="119">
        <v>0</v>
      </c>
      <c r="AJ14" s="119">
        <v>0</v>
      </c>
      <c r="AK14" s="119">
        <v>404.73090000000002</v>
      </c>
      <c r="AL14" s="119">
        <v>0</v>
      </c>
      <c r="AM14" s="119">
        <v>0</v>
      </c>
      <c r="AN14" s="119">
        <v>0</v>
      </c>
      <c r="AO14" s="119">
        <v>405.48060000000004</v>
      </c>
      <c r="AP14" s="119">
        <v>0</v>
      </c>
      <c r="AQ14" s="119">
        <v>0</v>
      </c>
      <c r="AR14" s="119">
        <v>0</v>
      </c>
      <c r="AS14" s="119">
        <v>407.15850000000006</v>
      </c>
      <c r="AU14" s="119">
        <f t="shared" ref="AU14:AU32" si="6">MAX(IF($G$2="AB",AV14:AY14,IF($G$2="BC",AZ14:BC14,IF($G$2="SK",BD14:BG14,IF($G$2="MN",BH14:BK14)))))</f>
        <v>404.73090000000002</v>
      </c>
      <c r="AV14" s="119">
        <v>0</v>
      </c>
      <c r="AW14" s="119">
        <v>15.493430857142856</v>
      </c>
      <c r="AX14" s="119">
        <v>0</v>
      </c>
      <c r="AY14" s="119">
        <v>457.46796000000001</v>
      </c>
      <c r="AZ14" s="119">
        <v>0</v>
      </c>
      <c r="BA14" s="119">
        <v>16.354432285714285</v>
      </c>
      <c r="BB14" s="119">
        <v>0</v>
      </c>
      <c r="BC14" s="119">
        <v>404.73090000000002</v>
      </c>
      <c r="BD14" s="119">
        <v>0</v>
      </c>
      <c r="BE14" s="119">
        <v>16.081305428571426</v>
      </c>
      <c r="BF14" s="119">
        <v>0</v>
      </c>
      <c r="BG14" s="119">
        <v>405.48060000000004</v>
      </c>
      <c r="BH14" s="119">
        <v>0</v>
      </c>
      <c r="BI14" s="119">
        <v>16.147850714285713</v>
      </c>
      <c r="BJ14" s="119">
        <v>0</v>
      </c>
      <c r="BK14" s="119">
        <v>407.15850000000006</v>
      </c>
    </row>
    <row r="15" spans="1:63" s="68" customFormat="1" ht="12.75" customHeight="1">
      <c r="A15" s="114" t="s">
        <v>22</v>
      </c>
      <c r="B15" s="114" t="s">
        <v>22</v>
      </c>
      <c r="C15" s="115" t="s">
        <v>101</v>
      </c>
      <c r="D15" s="120"/>
      <c r="E15" s="43">
        <v>500</v>
      </c>
      <c r="F15" s="18">
        <f t="shared" si="0"/>
        <v>0</v>
      </c>
      <c r="G15" s="28">
        <f t="shared" si="1"/>
        <v>0</v>
      </c>
      <c r="H15" s="121"/>
      <c r="I15" s="40">
        <f t="shared" si="2"/>
        <v>0</v>
      </c>
      <c r="J15" s="40" t="b">
        <f t="shared" si="3"/>
        <v>0</v>
      </c>
      <c r="K15" s="119">
        <f t="shared" si="4"/>
        <v>404.73090000000002</v>
      </c>
      <c r="L15" s="119">
        <v>0</v>
      </c>
      <c r="M15" s="119">
        <v>0</v>
      </c>
      <c r="N15" s="119">
        <v>15.72363402197802</v>
      </c>
      <c r="O15" s="119">
        <v>457.46796000000001</v>
      </c>
      <c r="P15" s="119">
        <v>0</v>
      </c>
      <c r="Q15" s="119">
        <v>0</v>
      </c>
      <c r="R15" s="119">
        <v>17.053339648351649</v>
      </c>
      <c r="S15" s="119">
        <v>404.73090000000002</v>
      </c>
      <c r="T15" s="119">
        <v>0</v>
      </c>
      <c r="U15" s="119">
        <v>0</v>
      </c>
      <c r="V15" s="119">
        <v>16.314706087912086</v>
      </c>
      <c r="W15" s="119">
        <v>405.48060000000004</v>
      </c>
      <c r="X15" s="119">
        <v>0</v>
      </c>
      <c r="Y15" s="119">
        <v>0</v>
      </c>
      <c r="Z15" s="119">
        <v>16.382217197802198</v>
      </c>
      <c r="AA15" s="119">
        <v>407.15850000000006</v>
      </c>
      <c r="AC15" s="119">
        <f t="shared" si="5"/>
        <v>404.73090000000002</v>
      </c>
      <c r="AD15" s="119">
        <v>0</v>
      </c>
      <c r="AE15" s="119">
        <v>0</v>
      </c>
      <c r="AF15" s="119">
        <v>0</v>
      </c>
      <c r="AG15" s="119">
        <v>457.46796000000001</v>
      </c>
      <c r="AH15" s="119">
        <v>0</v>
      </c>
      <c r="AI15" s="119">
        <v>0</v>
      </c>
      <c r="AJ15" s="119">
        <v>0</v>
      </c>
      <c r="AK15" s="119">
        <v>404.73090000000002</v>
      </c>
      <c r="AL15" s="119">
        <v>0</v>
      </c>
      <c r="AM15" s="119">
        <v>0</v>
      </c>
      <c r="AN15" s="119">
        <v>0</v>
      </c>
      <c r="AO15" s="119">
        <v>405.48060000000004</v>
      </c>
      <c r="AP15" s="119">
        <v>0</v>
      </c>
      <c r="AQ15" s="119">
        <v>0</v>
      </c>
      <c r="AR15" s="119">
        <v>0</v>
      </c>
      <c r="AS15" s="119">
        <v>407.15850000000006</v>
      </c>
      <c r="AU15" s="119">
        <f t="shared" si="6"/>
        <v>404.73090000000002</v>
      </c>
      <c r="AV15" s="119">
        <v>0</v>
      </c>
      <c r="AW15" s="119">
        <v>15.493430857142856</v>
      </c>
      <c r="AX15" s="119">
        <v>0</v>
      </c>
      <c r="AY15" s="119">
        <v>457.46796000000001</v>
      </c>
      <c r="AZ15" s="119">
        <v>0</v>
      </c>
      <c r="BA15" s="119">
        <v>16.354432285714285</v>
      </c>
      <c r="BB15" s="119">
        <v>0</v>
      </c>
      <c r="BC15" s="119">
        <v>404.73090000000002</v>
      </c>
      <c r="BD15" s="119">
        <v>0</v>
      </c>
      <c r="BE15" s="119">
        <v>16.081305428571426</v>
      </c>
      <c r="BF15" s="119">
        <v>0</v>
      </c>
      <c r="BG15" s="119">
        <v>405.48060000000004</v>
      </c>
      <c r="BH15" s="119">
        <v>0</v>
      </c>
      <c r="BI15" s="119">
        <v>16.147850714285713</v>
      </c>
      <c r="BJ15" s="119">
        <v>0</v>
      </c>
      <c r="BK15" s="119">
        <v>407.15850000000006</v>
      </c>
    </row>
    <row r="16" spans="1:63" s="68" customFormat="1" ht="12.75" customHeight="1">
      <c r="A16" s="114" t="s">
        <v>22</v>
      </c>
      <c r="B16" s="114" t="s">
        <v>22</v>
      </c>
      <c r="C16" s="115" t="s">
        <v>144</v>
      </c>
      <c r="D16" s="120"/>
      <c r="E16" s="43">
        <v>400</v>
      </c>
      <c r="F16" s="18">
        <f t="shared" si="0"/>
        <v>0</v>
      </c>
      <c r="G16" s="28">
        <f t="shared" si="1"/>
        <v>0</v>
      </c>
      <c r="H16" s="121"/>
      <c r="I16" s="40">
        <f t="shared" si="2"/>
        <v>0</v>
      </c>
      <c r="J16" s="40" t="b">
        <f t="shared" si="3"/>
        <v>0</v>
      </c>
      <c r="K16" s="119">
        <f t="shared" si="4"/>
        <v>404.73090000000002</v>
      </c>
      <c r="L16" s="119">
        <v>0</v>
      </c>
      <c r="M16" s="119">
        <v>0</v>
      </c>
      <c r="N16" s="119">
        <v>15.72363402197802</v>
      </c>
      <c r="O16" s="119">
        <v>457.46796000000001</v>
      </c>
      <c r="P16" s="119">
        <v>0</v>
      </c>
      <c r="Q16" s="119">
        <v>0</v>
      </c>
      <c r="R16" s="119">
        <v>17.053339648351649</v>
      </c>
      <c r="S16" s="119">
        <v>404.73090000000002</v>
      </c>
      <c r="T16" s="119">
        <v>0</v>
      </c>
      <c r="U16" s="119">
        <v>0</v>
      </c>
      <c r="V16" s="119">
        <v>16.314706087912086</v>
      </c>
      <c r="W16" s="119">
        <v>405.48060000000004</v>
      </c>
      <c r="X16" s="119">
        <v>0</v>
      </c>
      <c r="Y16" s="119">
        <v>0</v>
      </c>
      <c r="Z16" s="119">
        <v>16.382217197802198</v>
      </c>
      <c r="AA16" s="119">
        <v>407.15850000000006</v>
      </c>
      <c r="AC16" s="119">
        <f t="shared" si="5"/>
        <v>404.73090000000002</v>
      </c>
      <c r="AD16" s="119">
        <v>0</v>
      </c>
      <c r="AE16" s="119">
        <v>0</v>
      </c>
      <c r="AF16" s="119">
        <v>0</v>
      </c>
      <c r="AG16" s="119">
        <v>457.46796000000001</v>
      </c>
      <c r="AH16" s="119">
        <v>0</v>
      </c>
      <c r="AI16" s="119">
        <v>0</v>
      </c>
      <c r="AJ16" s="119">
        <v>0</v>
      </c>
      <c r="AK16" s="119">
        <v>404.73090000000002</v>
      </c>
      <c r="AL16" s="119">
        <v>0</v>
      </c>
      <c r="AM16" s="119">
        <v>0</v>
      </c>
      <c r="AN16" s="119">
        <v>0</v>
      </c>
      <c r="AO16" s="119">
        <v>405.48060000000004</v>
      </c>
      <c r="AP16" s="119">
        <v>0</v>
      </c>
      <c r="AQ16" s="119">
        <v>0</v>
      </c>
      <c r="AR16" s="119">
        <v>0</v>
      </c>
      <c r="AS16" s="119">
        <v>407.15850000000006</v>
      </c>
      <c r="AU16" s="119">
        <f t="shared" si="6"/>
        <v>404.73090000000002</v>
      </c>
      <c r="AV16" s="119">
        <v>0</v>
      </c>
      <c r="AW16" s="119">
        <v>15.493430857142856</v>
      </c>
      <c r="AX16" s="119">
        <v>0</v>
      </c>
      <c r="AY16" s="119">
        <v>457.46796000000001</v>
      </c>
      <c r="AZ16" s="119">
        <v>0</v>
      </c>
      <c r="BA16" s="119">
        <v>16.354432285714285</v>
      </c>
      <c r="BB16" s="119">
        <v>0</v>
      </c>
      <c r="BC16" s="119">
        <v>404.73090000000002</v>
      </c>
      <c r="BD16" s="119">
        <v>0</v>
      </c>
      <c r="BE16" s="119">
        <v>16.081305428571426</v>
      </c>
      <c r="BF16" s="119">
        <v>0</v>
      </c>
      <c r="BG16" s="119">
        <v>405.48060000000004</v>
      </c>
      <c r="BH16" s="119">
        <v>0</v>
      </c>
      <c r="BI16" s="119">
        <v>16.147850714285713</v>
      </c>
      <c r="BJ16" s="119">
        <v>0</v>
      </c>
      <c r="BK16" s="119">
        <v>407.15850000000006</v>
      </c>
    </row>
    <row r="17" spans="1:63" s="68" customFormat="1" ht="12.75" customHeight="1">
      <c r="A17" s="114" t="s">
        <v>22</v>
      </c>
      <c r="B17" s="114" t="s">
        <v>22</v>
      </c>
      <c r="C17" s="115" t="s">
        <v>24</v>
      </c>
      <c r="D17" s="120">
        <v>1</v>
      </c>
      <c r="E17" s="43">
        <v>400</v>
      </c>
      <c r="F17" s="18">
        <f t="shared" si="0"/>
        <v>400</v>
      </c>
      <c r="G17" s="28">
        <f t="shared" si="1"/>
        <v>30.76923076923077</v>
      </c>
      <c r="H17" s="121"/>
      <c r="I17" s="40">
        <f t="shared" si="2"/>
        <v>0</v>
      </c>
      <c r="J17" s="40">
        <f t="shared" si="3"/>
        <v>33.333333333333336</v>
      </c>
      <c r="K17" s="119">
        <f t="shared" si="4"/>
        <v>404.73090000000002</v>
      </c>
      <c r="L17" s="119">
        <v>0</v>
      </c>
      <c r="M17" s="119">
        <v>0</v>
      </c>
      <c r="N17" s="119">
        <v>15.72363402197802</v>
      </c>
      <c r="O17" s="119">
        <v>457.46796000000001</v>
      </c>
      <c r="P17" s="119">
        <v>0</v>
      </c>
      <c r="Q17" s="119">
        <v>0</v>
      </c>
      <c r="R17" s="119">
        <v>17.053339648351649</v>
      </c>
      <c r="S17" s="119">
        <v>404.73090000000002</v>
      </c>
      <c r="T17" s="119">
        <v>0</v>
      </c>
      <c r="U17" s="119">
        <v>0</v>
      </c>
      <c r="V17" s="119">
        <v>16.314706087912086</v>
      </c>
      <c r="W17" s="119">
        <v>405.48060000000004</v>
      </c>
      <c r="X17" s="119">
        <v>0</v>
      </c>
      <c r="Y17" s="119">
        <v>0</v>
      </c>
      <c r="Z17" s="119">
        <v>16.382217197802198</v>
      </c>
      <c r="AA17" s="119">
        <v>407.15850000000006</v>
      </c>
      <c r="AC17" s="119">
        <f t="shared" si="5"/>
        <v>404.73090000000002</v>
      </c>
      <c r="AD17" s="119">
        <v>0</v>
      </c>
      <c r="AE17" s="119">
        <v>0</v>
      </c>
      <c r="AF17" s="119">
        <v>0</v>
      </c>
      <c r="AG17" s="119">
        <v>457.46796000000001</v>
      </c>
      <c r="AH17" s="119">
        <v>0</v>
      </c>
      <c r="AI17" s="119">
        <v>0</v>
      </c>
      <c r="AJ17" s="119">
        <v>0</v>
      </c>
      <c r="AK17" s="119">
        <v>404.73090000000002</v>
      </c>
      <c r="AL17" s="119">
        <v>0</v>
      </c>
      <c r="AM17" s="119">
        <v>0</v>
      </c>
      <c r="AN17" s="119">
        <v>0</v>
      </c>
      <c r="AO17" s="119">
        <v>405.48060000000004</v>
      </c>
      <c r="AP17" s="119">
        <v>0</v>
      </c>
      <c r="AQ17" s="119">
        <v>0</v>
      </c>
      <c r="AR17" s="119">
        <v>0</v>
      </c>
      <c r="AS17" s="119">
        <v>407.15850000000006</v>
      </c>
      <c r="AU17" s="119">
        <f t="shared" si="6"/>
        <v>404.73090000000002</v>
      </c>
      <c r="AV17" s="119">
        <v>0</v>
      </c>
      <c r="AW17" s="119">
        <v>15.493430857142856</v>
      </c>
      <c r="AX17" s="119">
        <v>0</v>
      </c>
      <c r="AY17" s="119">
        <v>457.46796000000001</v>
      </c>
      <c r="AZ17" s="119">
        <v>0</v>
      </c>
      <c r="BA17" s="119">
        <v>16.354432285714285</v>
      </c>
      <c r="BB17" s="119">
        <v>0</v>
      </c>
      <c r="BC17" s="119">
        <v>404.73090000000002</v>
      </c>
      <c r="BD17" s="119">
        <v>0</v>
      </c>
      <c r="BE17" s="119">
        <v>16.081305428571426</v>
      </c>
      <c r="BF17" s="119">
        <v>0</v>
      </c>
      <c r="BG17" s="119">
        <v>405.48060000000004</v>
      </c>
      <c r="BH17" s="119">
        <v>0</v>
      </c>
      <c r="BI17" s="119">
        <v>16.147850714285713</v>
      </c>
      <c r="BJ17" s="119">
        <v>0</v>
      </c>
      <c r="BK17" s="119">
        <v>407.15850000000006</v>
      </c>
    </row>
    <row r="18" spans="1:63" s="68" customFormat="1" ht="12.75" customHeight="1">
      <c r="A18" s="114" t="s">
        <v>22</v>
      </c>
      <c r="B18" s="114" t="s">
        <v>22</v>
      </c>
      <c r="C18" s="115" t="s">
        <v>25</v>
      </c>
      <c r="D18" s="120">
        <v>1</v>
      </c>
      <c r="E18" s="43">
        <v>450</v>
      </c>
      <c r="F18" s="18">
        <f t="shared" si="0"/>
        <v>450</v>
      </c>
      <c r="G18" s="28">
        <f t="shared" si="1"/>
        <v>34.615384615384613</v>
      </c>
      <c r="H18" s="121"/>
      <c r="I18" s="40">
        <f t="shared" si="2"/>
        <v>0</v>
      </c>
      <c r="J18" s="40">
        <f t="shared" si="3"/>
        <v>37.5</v>
      </c>
      <c r="K18" s="119">
        <f t="shared" si="4"/>
        <v>404.73090000000002</v>
      </c>
      <c r="L18" s="119">
        <v>0</v>
      </c>
      <c r="M18" s="119">
        <v>0</v>
      </c>
      <c r="N18" s="119">
        <v>15.72363402197802</v>
      </c>
      <c r="O18" s="119">
        <v>457.46796000000001</v>
      </c>
      <c r="P18" s="119">
        <v>0</v>
      </c>
      <c r="Q18" s="119">
        <v>0</v>
      </c>
      <c r="R18" s="119">
        <v>17.053339648351649</v>
      </c>
      <c r="S18" s="119">
        <v>404.73090000000002</v>
      </c>
      <c r="T18" s="119">
        <v>0</v>
      </c>
      <c r="U18" s="119">
        <v>0</v>
      </c>
      <c r="V18" s="119">
        <v>16.314706087912086</v>
      </c>
      <c r="W18" s="119">
        <v>405.48060000000004</v>
      </c>
      <c r="X18" s="119">
        <v>0</v>
      </c>
      <c r="Y18" s="119">
        <v>0</v>
      </c>
      <c r="Z18" s="119">
        <v>16.382217197802198</v>
      </c>
      <c r="AA18" s="119">
        <v>407.15850000000006</v>
      </c>
      <c r="AC18" s="119">
        <f t="shared" si="5"/>
        <v>404.73090000000002</v>
      </c>
      <c r="AD18" s="119">
        <v>0</v>
      </c>
      <c r="AE18" s="119">
        <v>0</v>
      </c>
      <c r="AF18" s="119">
        <v>0</v>
      </c>
      <c r="AG18" s="119">
        <v>457.46796000000001</v>
      </c>
      <c r="AH18" s="119">
        <v>0</v>
      </c>
      <c r="AI18" s="119">
        <v>0</v>
      </c>
      <c r="AJ18" s="119">
        <v>0</v>
      </c>
      <c r="AK18" s="119">
        <v>404.73090000000002</v>
      </c>
      <c r="AL18" s="119">
        <v>0</v>
      </c>
      <c r="AM18" s="119">
        <v>0</v>
      </c>
      <c r="AN18" s="119">
        <v>0</v>
      </c>
      <c r="AO18" s="119">
        <v>405.48060000000004</v>
      </c>
      <c r="AP18" s="119">
        <v>0</v>
      </c>
      <c r="AQ18" s="119">
        <v>0</v>
      </c>
      <c r="AR18" s="119">
        <v>0</v>
      </c>
      <c r="AS18" s="119">
        <v>407.15850000000006</v>
      </c>
      <c r="AU18" s="119">
        <f t="shared" si="6"/>
        <v>404.73090000000002</v>
      </c>
      <c r="AV18" s="119">
        <v>0</v>
      </c>
      <c r="AW18" s="119">
        <v>15.493430857142856</v>
      </c>
      <c r="AX18" s="119">
        <v>0</v>
      </c>
      <c r="AY18" s="119">
        <v>457.46796000000001</v>
      </c>
      <c r="AZ18" s="119">
        <v>0</v>
      </c>
      <c r="BA18" s="119">
        <v>16.354432285714285</v>
      </c>
      <c r="BB18" s="119">
        <v>0</v>
      </c>
      <c r="BC18" s="119">
        <v>404.73090000000002</v>
      </c>
      <c r="BD18" s="119">
        <v>0</v>
      </c>
      <c r="BE18" s="119">
        <v>16.081305428571426</v>
      </c>
      <c r="BF18" s="119">
        <v>0</v>
      </c>
      <c r="BG18" s="119">
        <v>405.48060000000004</v>
      </c>
      <c r="BH18" s="119">
        <v>0</v>
      </c>
      <c r="BI18" s="119">
        <v>16.147850714285713</v>
      </c>
      <c r="BJ18" s="119">
        <v>0</v>
      </c>
      <c r="BK18" s="119">
        <v>407.15850000000006</v>
      </c>
    </row>
    <row r="19" spans="1:63" s="68" customFormat="1" ht="12.75" customHeight="1">
      <c r="A19" s="114" t="s">
        <v>22</v>
      </c>
      <c r="B19" s="114" t="s">
        <v>22</v>
      </c>
      <c r="C19" s="122" t="s">
        <v>38</v>
      </c>
      <c r="D19" s="120"/>
      <c r="E19" s="43">
        <v>500</v>
      </c>
      <c r="F19" s="18">
        <f t="shared" si="0"/>
        <v>0</v>
      </c>
      <c r="G19" s="28">
        <f t="shared" si="1"/>
        <v>0</v>
      </c>
      <c r="H19" s="121"/>
      <c r="I19" s="40">
        <f t="shared" si="2"/>
        <v>0</v>
      </c>
      <c r="J19" s="40" t="b">
        <f t="shared" si="3"/>
        <v>0</v>
      </c>
      <c r="K19" s="119">
        <f t="shared" si="4"/>
        <v>404.73090000000002</v>
      </c>
      <c r="L19" s="119">
        <v>0</v>
      </c>
      <c r="M19" s="119">
        <v>0</v>
      </c>
      <c r="N19" s="119">
        <v>15.72363402197802</v>
      </c>
      <c r="O19" s="119">
        <v>457.46796000000001</v>
      </c>
      <c r="P19" s="119">
        <v>0</v>
      </c>
      <c r="Q19" s="119">
        <v>0</v>
      </c>
      <c r="R19" s="119">
        <v>17.053339648351649</v>
      </c>
      <c r="S19" s="119">
        <v>404.73090000000002</v>
      </c>
      <c r="T19" s="119">
        <v>0</v>
      </c>
      <c r="U19" s="119">
        <v>0</v>
      </c>
      <c r="V19" s="119">
        <v>16.314706087912086</v>
      </c>
      <c r="W19" s="119">
        <v>405.48060000000004</v>
      </c>
      <c r="X19" s="119">
        <v>0</v>
      </c>
      <c r="Y19" s="119">
        <v>0</v>
      </c>
      <c r="Z19" s="119">
        <v>16.382217197802198</v>
      </c>
      <c r="AA19" s="119">
        <v>407.15850000000006</v>
      </c>
      <c r="AC19" s="119">
        <f t="shared" si="5"/>
        <v>404.73090000000002</v>
      </c>
      <c r="AD19" s="119">
        <v>0</v>
      </c>
      <c r="AE19" s="119">
        <v>0</v>
      </c>
      <c r="AF19" s="119">
        <v>0</v>
      </c>
      <c r="AG19" s="119">
        <v>457.46796000000001</v>
      </c>
      <c r="AH19" s="119">
        <v>0</v>
      </c>
      <c r="AI19" s="119">
        <v>0</v>
      </c>
      <c r="AJ19" s="119">
        <v>0</v>
      </c>
      <c r="AK19" s="119">
        <v>404.73090000000002</v>
      </c>
      <c r="AL19" s="119">
        <v>0</v>
      </c>
      <c r="AM19" s="119">
        <v>0</v>
      </c>
      <c r="AN19" s="119">
        <v>0</v>
      </c>
      <c r="AO19" s="119">
        <v>405.48060000000004</v>
      </c>
      <c r="AP19" s="119">
        <v>0</v>
      </c>
      <c r="AQ19" s="119">
        <v>0</v>
      </c>
      <c r="AR19" s="119">
        <v>0</v>
      </c>
      <c r="AS19" s="119">
        <v>407.15850000000006</v>
      </c>
      <c r="AU19" s="119">
        <f t="shared" si="6"/>
        <v>404.73090000000002</v>
      </c>
      <c r="AV19" s="119">
        <v>0</v>
      </c>
      <c r="AW19" s="119">
        <v>15.493430857142856</v>
      </c>
      <c r="AX19" s="119">
        <v>0</v>
      </c>
      <c r="AY19" s="119">
        <v>457.46796000000001</v>
      </c>
      <c r="AZ19" s="119">
        <v>0</v>
      </c>
      <c r="BA19" s="119">
        <v>16.354432285714285</v>
      </c>
      <c r="BB19" s="119">
        <v>0</v>
      </c>
      <c r="BC19" s="119">
        <v>404.73090000000002</v>
      </c>
      <c r="BD19" s="119">
        <v>0</v>
      </c>
      <c r="BE19" s="119">
        <v>16.081305428571426</v>
      </c>
      <c r="BF19" s="119">
        <v>0</v>
      </c>
      <c r="BG19" s="119">
        <v>405.48060000000004</v>
      </c>
      <c r="BH19" s="119">
        <v>0</v>
      </c>
      <c r="BI19" s="119">
        <v>16.147850714285713</v>
      </c>
      <c r="BJ19" s="119">
        <v>0</v>
      </c>
      <c r="BK19" s="119">
        <v>407.15850000000006</v>
      </c>
    </row>
    <row r="20" spans="1:63" s="68" customFormat="1" ht="12.75" customHeight="1">
      <c r="A20" s="114" t="s">
        <v>22</v>
      </c>
      <c r="B20" s="114" t="s">
        <v>22</v>
      </c>
      <c r="C20" s="115" t="s">
        <v>298</v>
      </c>
      <c r="D20" s="120">
        <v>1</v>
      </c>
      <c r="E20" s="43">
        <v>550</v>
      </c>
      <c r="F20" s="18">
        <f t="shared" si="0"/>
        <v>550</v>
      </c>
      <c r="G20" s="28">
        <f t="shared" si="1"/>
        <v>42.307692307692307</v>
      </c>
      <c r="H20" s="121"/>
      <c r="I20" s="40">
        <f t="shared" si="2"/>
        <v>0</v>
      </c>
      <c r="J20" s="40">
        <f t="shared" si="3"/>
        <v>45.833333333333336</v>
      </c>
      <c r="K20" s="119">
        <f t="shared" si="4"/>
        <v>404.73090000000002</v>
      </c>
      <c r="L20" s="119">
        <v>0</v>
      </c>
      <c r="M20" s="119">
        <v>0</v>
      </c>
      <c r="N20" s="119">
        <v>15.72363402197802</v>
      </c>
      <c r="O20" s="119">
        <v>457.46796000000001</v>
      </c>
      <c r="P20" s="119">
        <v>0</v>
      </c>
      <c r="Q20" s="119">
        <v>0</v>
      </c>
      <c r="R20" s="119">
        <v>17.053339648351649</v>
      </c>
      <c r="S20" s="119">
        <v>404.73090000000002</v>
      </c>
      <c r="T20" s="119">
        <v>0</v>
      </c>
      <c r="U20" s="119">
        <v>0</v>
      </c>
      <c r="V20" s="119">
        <v>16.314706087912086</v>
      </c>
      <c r="W20" s="119">
        <v>405.48060000000004</v>
      </c>
      <c r="X20" s="119">
        <v>0</v>
      </c>
      <c r="Y20" s="119">
        <v>0</v>
      </c>
      <c r="Z20" s="119">
        <v>16.382217197802198</v>
      </c>
      <c r="AA20" s="119">
        <v>407.15850000000006</v>
      </c>
      <c r="AC20" s="119">
        <f t="shared" si="5"/>
        <v>404.73090000000002</v>
      </c>
      <c r="AD20" s="119">
        <v>0</v>
      </c>
      <c r="AE20" s="119">
        <v>0</v>
      </c>
      <c r="AF20" s="119">
        <v>0</v>
      </c>
      <c r="AG20" s="119">
        <v>457.46796000000001</v>
      </c>
      <c r="AH20" s="119">
        <v>0</v>
      </c>
      <c r="AI20" s="119">
        <v>0</v>
      </c>
      <c r="AJ20" s="119">
        <v>0</v>
      </c>
      <c r="AK20" s="119">
        <v>404.73090000000002</v>
      </c>
      <c r="AL20" s="119">
        <v>0</v>
      </c>
      <c r="AM20" s="119">
        <v>0</v>
      </c>
      <c r="AN20" s="119">
        <v>0</v>
      </c>
      <c r="AO20" s="119">
        <v>405.48060000000004</v>
      </c>
      <c r="AP20" s="119">
        <v>0</v>
      </c>
      <c r="AQ20" s="119">
        <v>0</v>
      </c>
      <c r="AR20" s="119">
        <v>0</v>
      </c>
      <c r="AS20" s="119">
        <v>407.15850000000006</v>
      </c>
      <c r="AU20" s="119">
        <f t="shared" si="6"/>
        <v>404.73090000000002</v>
      </c>
      <c r="AV20" s="119">
        <v>0</v>
      </c>
      <c r="AW20" s="119">
        <v>15.493430857142856</v>
      </c>
      <c r="AX20" s="119">
        <v>0</v>
      </c>
      <c r="AY20" s="119">
        <v>457.46796000000001</v>
      </c>
      <c r="AZ20" s="119">
        <v>0</v>
      </c>
      <c r="BA20" s="119">
        <v>16.354432285714285</v>
      </c>
      <c r="BB20" s="119">
        <v>0</v>
      </c>
      <c r="BC20" s="119">
        <v>404.73090000000002</v>
      </c>
      <c r="BD20" s="119">
        <v>0</v>
      </c>
      <c r="BE20" s="119">
        <v>16.081305428571426</v>
      </c>
      <c r="BF20" s="119">
        <v>0</v>
      </c>
      <c r="BG20" s="119">
        <v>405.48060000000004</v>
      </c>
      <c r="BH20" s="119">
        <v>0</v>
      </c>
      <c r="BI20" s="119">
        <v>16.147850714285713</v>
      </c>
      <c r="BJ20" s="119">
        <v>0</v>
      </c>
      <c r="BK20" s="119">
        <v>407.15850000000006</v>
      </c>
    </row>
    <row r="21" spans="1:63" s="68" customFormat="1" ht="12.75" customHeight="1">
      <c r="A21" s="114" t="s">
        <v>22</v>
      </c>
      <c r="B21" s="114" t="s">
        <v>22</v>
      </c>
      <c r="C21" s="115" t="s">
        <v>299</v>
      </c>
      <c r="D21" s="120"/>
      <c r="E21" s="43">
        <v>400</v>
      </c>
      <c r="F21" s="18">
        <f t="shared" si="0"/>
        <v>0</v>
      </c>
      <c r="G21" s="28">
        <f t="shared" si="1"/>
        <v>0</v>
      </c>
      <c r="H21" s="121"/>
      <c r="I21" s="40">
        <f t="shared" si="2"/>
        <v>0</v>
      </c>
      <c r="J21" s="40" t="b">
        <f t="shared" si="3"/>
        <v>0</v>
      </c>
      <c r="K21" s="119">
        <f t="shared" si="4"/>
        <v>404.73090000000002</v>
      </c>
      <c r="L21" s="119">
        <v>0</v>
      </c>
      <c r="M21" s="119">
        <v>0</v>
      </c>
      <c r="N21" s="119">
        <v>15.72363402197802</v>
      </c>
      <c r="O21" s="119">
        <v>457.46796000000001</v>
      </c>
      <c r="P21" s="119">
        <v>0</v>
      </c>
      <c r="Q21" s="119">
        <v>0</v>
      </c>
      <c r="R21" s="119">
        <v>17.053339648351649</v>
      </c>
      <c r="S21" s="119">
        <v>404.73090000000002</v>
      </c>
      <c r="T21" s="119">
        <v>0</v>
      </c>
      <c r="U21" s="119">
        <v>0</v>
      </c>
      <c r="V21" s="119">
        <v>16.314706087912086</v>
      </c>
      <c r="W21" s="119">
        <v>405.48060000000004</v>
      </c>
      <c r="X21" s="119">
        <v>0</v>
      </c>
      <c r="Y21" s="119">
        <v>0</v>
      </c>
      <c r="Z21" s="119">
        <v>16.382217197802198</v>
      </c>
      <c r="AA21" s="119">
        <v>407.15850000000006</v>
      </c>
      <c r="AC21" s="119">
        <f t="shared" si="5"/>
        <v>404.73090000000002</v>
      </c>
      <c r="AD21" s="119">
        <v>0</v>
      </c>
      <c r="AE21" s="119">
        <v>0</v>
      </c>
      <c r="AF21" s="119">
        <v>0</v>
      </c>
      <c r="AG21" s="119">
        <v>457.46796000000001</v>
      </c>
      <c r="AH21" s="119">
        <v>0</v>
      </c>
      <c r="AI21" s="119">
        <v>0</v>
      </c>
      <c r="AJ21" s="119">
        <v>0</v>
      </c>
      <c r="AK21" s="119">
        <v>404.73090000000002</v>
      </c>
      <c r="AL21" s="119">
        <v>0</v>
      </c>
      <c r="AM21" s="119">
        <v>0</v>
      </c>
      <c r="AN21" s="119">
        <v>0</v>
      </c>
      <c r="AO21" s="119">
        <v>405.48060000000004</v>
      </c>
      <c r="AP21" s="119">
        <v>0</v>
      </c>
      <c r="AQ21" s="119">
        <v>0</v>
      </c>
      <c r="AR21" s="119">
        <v>0</v>
      </c>
      <c r="AS21" s="119">
        <v>407.15850000000006</v>
      </c>
      <c r="AU21" s="119">
        <f t="shared" si="6"/>
        <v>404.73090000000002</v>
      </c>
      <c r="AV21" s="119">
        <v>0</v>
      </c>
      <c r="AW21" s="119">
        <v>15.493430857142856</v>
      </c>
      <c r="AX21" s="119">
        <v>0</v>
      </c>
      <c r="AY21" s="119">
        <v>457.46796000000001</v>
      </c>
      <c r="AZ21" s="119">
        <v>0</v>
      </c>
      <c r="BA21" s="119">
        <v>16.354432285714285</v>
      </c>
      <c r="BB21" s="119">
        <v>0</v>
      </c>
      <c r="BC21" s="119">
        <v>404.73090000000002</v>
      </c>
      <c r="BD21" s="119">
        <v>0</v>
      </c>
      <c r="BE21" s="119">
        <v>16.081305428571426</v>
      </c>
      <c r="BF21" s="119">
        <v>0</v>
      </c>
      <c r="BG21" s="119">
        <v>405.48060000000004</v>
      </c>
      <c r="BH21" s="119">
        <v>0</v>
      </c>
      <c r="BI21" s="119">
        <v>16.147850714285713</v>
      </c>
      <c r="BJ21" s="119">
        <v>0</v>
      </c>
      <c r="BK21" s="119">
        <v>407.15850000000006</v>
      </c>
    </row>
    <row r="22" spans="1:63" s="68" customFormat="1" ht="12.75" customHeight="1">
      <c r="A22" s="114" t="s">
        <v>22</v>
      </c>
      <c r="B22" s="114" t="s">
        <v>22</v>
      </c>
      <c r="C22" s="123" t="s">
        <v>300</v>
      </c>
      <c r="D22" s="120"/>
      <c r="E22" s="43">
        <v>300</v>
      </c>
      <c r="F22" s="18">
        <f t="shared" si="0"/>
        <v>0</v>
      </c>
      <c r="G22" s="28">
        <f t="shared" si="1"/>
        <v>0</v>
      </c>
      <c r="H22" s="121"/>
      <c r="I22" s="40">
        <f t="shared" si="2"/>
        <v>0</v>
      </c>
      <c r="J22" s="40" t="b">
        <f t="shared" si="3"/>
        <v>0</v>
      </c>
      <c r="K22" s="119">
        <f t="shared" si="4"/>
        <v>346.91220000000004</v>
      </c>
      <c r="L22" s="119">
        <v>0</v>
      </c>
      <c r="M22" s="119">
        <v>0</v>
      </c>
      <c r="N22" s="119">
        <v>15.72363402197802</v>
      </c>
      <c r="O22" s="119">
        <v>343.10096999999996</v>
      </c>
      <c r="P22" s="119">
        <v>0</v>
      </c>
      <c r="Q22" s="119">
        <v>0</v>
      </c>
      <c r="R22" s="119">
        <v>17.053339648351649</v>
      </c>
      <c r="S22" s="119">
        <v>346.91220000000004</v>
      </c>
      <c r="T22" s="119">
        <v>0</v>
      </c>
      <c r="U22" s="119">
        <v>0</v>
      </c>
      <c r="V22" s="119">
        <v>16.314706087912086</v>
      </c>
      <c r="W22" s="119">
        <v>347.55479999999994</v>
      </c>
      <c r="X22" s="119">
        <v>0</v>
      </c>
      <c r="Y22" s="119">
        <v>0</v>
      </c>
      <c r="Z22" s="119">
        <v>16.382217197802198</v>
      </c>
      <c r="AA22" s="119">
        <v>348.99299999999999</v>
      </c>
      <c r="AC22" s="119">
        <f t="shared" si="5"/>
        <v>346.91220000000004</v>
      </c>
      <c r="AD22" s="119">
        <v>0</v>
      </c>
      <c r="AE22" s="119">
        <v>0</v>
      </c>
      <c r="AF22" s="119">
        <v>0</v>
      </c>
      <c r="AG22" s="119">
        <v>343.10096999999996</v>
      </c>
      <c r="AH22" s="119">
        <v>0</v>
      </c>
      <c r="AI22" s="119">
        <v>0</v>
      </c>
      <c r="AJ22" s="119">
        <v>0</v>
      </c>
      <c r="AK22" s="119">
        <v>346.91220000000004</v>
      </c>
      <c r="AL22" s="119">
        <v>0</v>
      </c>
      <c r="AM22" s="119">
        <v>0</v>
      </c>
      <c r="AN22" s="119">
        <v>0</v>
      </c>
      <c r="AO22" s="119">
        <v>347.55479999999994</v>
      </c>
      <c r="AP22" s="119">
        <v>0</v>
      </c>
      <c r="AQ22" s="119">
        <v>0</v>
      </c>
      <c r="AR22" s="119">
        <v>0</v>
      </c>
      <c r="AS22" s="119">
        <v>348.99299999999999</v>
      </c>
      <c r="AU22" s="119">
        <f t="shared" si="6"/>
        <v>346.91220000000004</v>
      </c>
      <c r="AV22" s="119">
        <v>0</v>
      </c>
      <c r="AW22" s="119">
        <v>15.493430857142856</v>
      </c>
      <c r="AX22" s="119">
        <v>0</v>
      </c>
      <c r="AY22" s="119">
        <v>343.10096999999996</v>
      </c>
      <c r="AZ22" s="119">
        <v>0</v>
      </c>
      <c r="BA22" s="119">
        <v>16.354432285714285</v>
      </c>
      <c r="BB22" s="119">
        <v>0</v>
      </c>
      <c r="BC22" s="119">
        <v>346.91220000000004</v>
      </c>
      <c r="BD22" s="119">
        <v>0</v>
      </c>
      <c r="BE22" s="119">
        <v>16.081305428571426</v>
      </c>
      <c r="BF22" s="119">
        <v>0</v>
      </c>
      <c r="BG22" s="119">
        <v>347.55479999999994</v>
      </c>
      <c r="BH22" s="119">
        <v>0</v>
      </c>
      <c r="BI22" s="119">
        <v>16.147850714285713</v>
      </c>
      <c r="BJ22" s="119">
        <v>0</v>
      </c>
      <c r="BK22" s="119">
        <v>348.99299999999999</v>
      </c>
    </row>
    <row r="23" spans="1:63" s="68" customFormat="1" ht="12.75" customHeight="1">
      <c r="A23" s="114" t="s">
        <v>22</v>
      </c>
      <c r="B23" s="114" t="s">
        <v>22</v>
      </c>
      <c r="C23" s="123" t="s">
        <v>301</v>
      </c>
      <c r="D23" s="120"/>
      <c r="E23" s="43">
        <v>200</v>
      </c>
      <c r="F23" s="18">
        <f t="shared" si="0"/>
        <v>0</v>
      </c>
      <c r="G23" s="28">
        <f t="shared" si="1"/>
        <v>0</v>
      </c>
      <c r="H23" s="121"/>
      <c r="I23" s="40">
        <f t="shared" si="2"/>
        <v>0</v>
      </c>
      <c r="J23" s="40" t="b">
        <f t="shared" si="3"/>
        <v>0</v>
      </c>
      <c r="K23" s="119">
        <f t="shared" si="4"/>
        <v>231.27480000000003</v>
      </c>
      <c r="L23" s="119">
        <v>0</v>
      </c>
      <c r="M23" s="119">
        <v>0</v>
      </c>
      <c r="N23" s="119">
        <v>15.72363402197802</v>
      </c>
      <c r="O23" s="119">
        <v>228.73398</v>
      </c>
      <c r="P23" s="119">
        <v>0</v>
      </c>
      <c r="Q23" s="119">
        <v>0</v>
      </c>
      <c r="R23" s="119">
        <v>17.053339648351649</v>
      </c>
      <c r="S23" s="119">
        <v>231.27480000000003</v>
      </c>
      <c r="T23" s="119">
        <v>0</v>
      </c>
      <c r="U23" s="119">
        <v>0</v>
      </c>
      <c r="V23" s="119">
        <v>16.314706087912086</v>
      </c>
      <c r="W23" s="119">
        <v>231.70320000000004</v>
      </c>
      <c r="X23" s="119">
        <v>0</v>
      </c>
      <c r="Y23" s="119">
        <v>0</v>
      </c>
      <c r="Z23" s="119">
        <v>16.382217197802198</v>
      </c>
      <c r="AA23" s="119">
        <v>232.66200000000001</v>
      </c>
      <c r="AC23" s="119">
        <f t="shared" si="5"/>
        <v>231.27480000000003</v>
      </c>
      <c r="AD23" s="119">
        <v>0</v>
      </c>
      <c r="AE23" s="119">
        <v>0</v>
      </c>
      <c r="AF23" s="119">
        <v>0</v>
      </c>
      <c r="AG23" s="119">
        <v>228.73398</v>
      </c>
      <c r="AH23" s="119">
        <v>0</v>
      </c>
      <c r="AI23" s="119">
        <v>0</v>
      </c>
      <c r="AJ23" s="119">
        <v>0</v>
      </c>
      <c r="AK23" s="119">
        <v>231.27480000000003</v>
      </c>
      <c r="AL23" s="119">
        <v>0</v>
      </c>
      <c r="AM23" s="119">
        <v>0</v>
      </c>
      <c r="AN23" s="119">
        <v>0</v>
      </c>
      <c r="AO23" s="119">
        <v>231.70320000000004</v>
      </c>
      <c r="AP23" s="119">
        <v>0</v>
      </c>
      <c r="AQ23" s="119">
        <v>0</v>
      </c>
      <c r="AR23" s="119">
        <v>0</v>
      </c>
      <c r="AS23" s="119">
        <v>232.66200000000001</v>
      </c>
      <c r="AU23" s="119">
        <f t="shared" si="6"/>
        <v>231.27480000000003</v>
      </c>
      <c r="AV23" s="119">
        <v>0</v>
      </c>
      <c r="AW23" s="119">
        <v>15.493430857142856</v>
      </c>
      <c r="AX23" s="119">
        <v>0</v>
      </c>
      <c r="AY23" s="119">
        <v>228.73398</v>
      </c>
      <c r="AZ23" s="119">
        <v>0</v>
      </c>
      <c r="BA23" s="119">
        <v>16.354432285714285</v>
      </c>
      <c r="BB23" s="119">
        <v>0</v>
      </c>
      <c r="BC23" s="119">
        <v>231.27480000000003</v>
      </c>
      <c r="BD23" s="119">
        <v>0</v>
      </c>
      <c r="BE23" s="119">
        <v>16.081305428571426</v>
      </c>
      <c r="BF23" s="119">
        <v>0</v>
      </c>
      <c r="BG23" s="119">
        <v>231.70320000000004</v>
      </c>
      <c r="BH23" s="119">
        <v>0</v>
      </c>
      <c r="BI23" s="119">
        <v>16.147850714285713</v>
      </c>
      <c r="BJ23" s="119">
        <v>0</v>
      </c>
      <c r="BK23" s="119">
        <v>232.66200000000001</v>
      </c>
    </row>
    <row r="24" spans="1:63" s="68" customFormat="1" ht="12.75" customHeight="1">
      <c r="A24" s="114" t="s">
        <v>22</v>
      </c>
      <c r="B24" s="114" t="s">
        <v>22</v>
      </c>
      <c r="C24" s="115" t="s">
        <v>26</v>
      </c>
      <c r="D24" s="120">
        <v>2</v>
      </c>
      <c r="E24" s="43">
        <v>350</v>
      </c>
      <c r="F24" s="18">
        <f t="shared" si="0"/>
        <v>700</v>
      </c>
      <c r="G24" s="28">
        <f t="shared" si="1"/>
        <v>53.846153846153847</v>
      </c>
      <c r="H24" s="121"/>
      <c r="I24" s="40">
        <f t="shared" si="2"/>
        <v>0</v>
      </c>
      <c r="J24" s="40">
        <f t="shared" si="3"/>
        <v>58.333333333333336</v>
      </c>
      <c r="K24" s="119">
        <f t="shared" si="4"/>
        <v>404.73090000000002</v>
      </c>
      <c r="L24" s="119">
        <v>0</v>
      </c>
      <c r="M24" s="119">
        <v>0</v>
      </c>
      <c r="N24" s="119">
        <v>15.72363402197802</v>
      </c>
      <c r="O24" s="119">
        <v>400.28446500000001</v>
      </c>
      <c r="P24" s="119">
        <v>0</v>
      </c>
      <c r="Q24" s="119">
        <v>0</v>
      </c>
      <c r="R24" s="119">
        <v>17.053339648351649</v>
      </c>
      <c r="S24" s="119">
        <v>404.73090000000002</v>
      </c>
      <c r="T24" s="119">
        <v>0</v>
      </c>
      <c r="U24" s="119">
        <v>0</v>
      </c>
      <c r="V24" s="119">
        <v>16.314706087912086</v>
      </c>
      <c r="W24" s="119">
        <v>405.48060000000004</v>
      </c>
      <c r="X24" s="119">
        <v>0</v>
      </c>
      <c r="Y24" s="119">
        <v>0</v>
      </c>
      <c r="Z24" s="119">
        <v>16.382217197802198</v>
      </c>
      <c r="AA24" s="119">
        <v>407.15850000000006</v>
      </c>
      <c r="AC24" s="119">
        <f t="shared" si="5"/>
        <v>404.73090000000002</v>
      </c>
      <c r="AD24" s="119">
        <v>0</v>
      </c>
      <c r="AE24" s="119">
        <v>0</v>
      </c>
      <c r="AF24" s="119">
        <v>0</v>
      </c>
      <c r="AG24" s="119">
        <v>400.28446500000001</v>
      </c>
      <c r="AH24" s="119">
        <v>0</v>
      </c>
      <c r="AI24" s="119">
        <v>0</v>
      </c>
      <c r="AJ24" s="119">
        <v>0</v>
      </c>
      <c r="AK24" s="119">
        <v>404.73090000000002</v>
      </c>
      <c r="AL24" s="119">
        <v>0</v>
      </c>
      <c r="AM24" s="119">
        <v>0</v>
      </c>
      <c r="AN24" s="119">
        <v>0</v>
      </c>
      <c r="AO24" s="119">
        <v>405.48060000000004</v>
      </c>
      <c r="AP24" s="119">
        <v>0</v>
      </c>
      <c r="AQ24" s="119">
        <v>0</v>
      </c>
      <c r="AR24" s="119">
        <v>0</v>
      </c>
      <c r="AS24" s="119">
        <v>407.15850000000006</v>
      </c>
      <c r="AU24" s="119">
        <f t="shared" si="6"/>
        <v>404.73090000000002</v>
      </c>
      <c r="AV24" s="119">
        <v>0</v>
      </c>
      <c r="AW24" s="119">
        <v>15.493430857142856</v>
      </c>
      <c r="AX24" s="119">
        <v>0</v>
      </c>
      <c r="AY24" s="119">
        <v>400.28446500000001</v>
      </c>
      <c r="AZ24" s="119">
        <v>0</v>
      </c>
      <c r="BA24" s="119">
        <v>16.354432285714285</v>
      </c>
      <c r="BB24" s="119">
        <v>0</v>
      </c>
      <c r="BC24" s="119">
        <v>404.73090000000002</v>
      </c>
      <c r="BD24" s="119">
        <v>0</v>
      </c>
      <c r="BE24" s="119">
        <v>16.081305428571426</v>
      </c>
      <c r="BF24" s="119">
        <v>0</v>
      </c>
      <c r="BG24" s="119">
        <v>405.48060000000004</v>
      </c>
      <c r="BH24" s="119">
        <v>0</v>
      </c>
      <c r="BI24" s="119">
        <v>16.147850714285713</v>
      </c>
      <c r="BJ24" s="119">
        <v>0</v>
      </c>
      <c r="BK24" s="119">
        <v>407.15850000000006</v>
      </c>
    </row>
    <row r="25" spans="1:63" s="68" customFormat="1" ht="12.75" customHeight="1">
      <c r="A25" s="114" t="s">
        <v>22</v>
      </c>
      <c r="B25" s="114" t="s">
        <v>22</v>
      </c>
      <c r="C25" s="115" t="s">
        <v>27</v>
      </c>
      <c r="D25" s="120"/>
      <c r="E25" s="43">
        <v>275</v>
      </c>
      <c r="F25" s="18">
        <f t="shared" si="0"/>
        <v>0</v>
      </c>
      <c r="G25" s="28">
        <f t="shared" si="1"/>
        <v>0</v>
      </c>
      <c r="H25" s="121"/>
      <c r="I25" s="40">
        <f t="shared" si="2"/>
        <v>0</v>
      </c>
      <c r="J25" s="40" t="b">
        <f t="shared" si="3"/>
        <v>0</v>
      </c>
      <c r="K25" s="119">
        <f t="shared" si="4"/>
        <v>318.00284999999997</v>
      </c>
      <c r="L25" s="119">
        <v>0</v>
      </c>
      <c r="M25" s="119">
        <v>0</v>
      </c>
      <c r="N25" s="119">
        <v>15.72363402197802</v>
      </c>
      <c r="O25" s="119">
        <v>314.50922250000002</v>
      </c>
      <c r="P25" s="119">
        <v>0</v>
      </c>
      <c r="Q25" s="119">
        <v>0</v>
      </c>
      <c r="R25" s="119">
        <v>17.053339648351649</v>
      </c>
      <c r="S25" s="119">
        <v>318.00284999999997</v>
      </c>
      <c r="T25" s="119">
        <v>0</v>
      </c>
      <c r="U25" s="119">
        <v>0</v>
      </c>
      <c r="V25" s="119">
        <v>16.314706087912086</v>
      </c>
      <c r="W25" s="119">
        <v>318.59189999999995</v>
      </c>
      <c r="X25" s="119">
        <v>0</v>
      </c>
      <c r="Y25" s="119">
        <v>0</v>
      </c>
      <c r="Z25" s="119">
        <v>16.382217197802198</v>
      </c>
      <c r="AA25" s="119">
        <v>319.91024999999996</v>
      </c>
      <c r="AC25" s="119">
        <f t="shared" si="5"/>
        <v>318.00284999999997</v>
      </c>
      <c r="AD25" s="119">
        <v>0</v>
      </c>
      <c r="AE25" s="119">
        <v>0</v>
      </c>
      <c r="AF25" s="119">
        <v>0</v>
      </c>
      <c r="AG25" s="119">
        <v>314.50922250000002</v>
      </c>
      <c r="AH25" s="119">
        <v>0</v>
      </c>
      <c r="AI25" s="119">
        <v>0</v>
      </c>
      <c r="AJ25" s="119">
        <v>0</v>
      </c>
      <c r="AK25" s="119">
        <v>318.00284999999997</v>
      </c>
      <c r="AL25" s="119">
        <v>0</v>
      </c>
      <c r="AM25" s="119">
        <v>0</v>
      </c>
      <c r="AN25" s="119">
        <v>0</v>
      </c>
      <c r="AO25" s="119">
        <v>318.59189999999995</v>
      </c>
      <c r="AP25" s="119">
        <v>0</v>
      </c>
      <c r="AQ25" s="119">
        <v>0</v>
      </c>
      <c r="AR25" s="119">
        <v>0</v>
      </c>
      <c r="AS25" s="119">
        <v>319.91024999999996</v>
      </c>
      <c r="AU25" s="119">
        <f t="shared" si="6"/>
        <v>318.00284999999997</v>
      </c>
      <c r="AV25" s="119">
        <v>0</v>
      </c>
      <c r="AW25" s="119">
        <v>15.493430857142856</v>
      </c>
      <c r="AX25" s="119">
        <v>0</v>
      </c>
      <c r="AY25" s="119">
        <v>314.50922250000002</v>
      </c>
      <c r="AZ25" s="119">
        <v>0</v>
      </c>
      <c r="BA25" s="119">
        <v>16.354432285714285</v>
      </c>
      <c r="BB25" s="119">
        <v>0</v>
      </c>
      <c r="BC25" s="119">
        <v>318.00284999999997</v>
      </c>
      <c r="BD25" s="119">
        <v>0</v>
      </c>
      <c r="BE25" s="119">
        <v>16.081305428571426</v>
      </c>
      <c r="BF25" s="119">
        <v>0</v>
      </c>
      <c r="BG25" s="119">
        <v>318.59189999999995</v>
      </c>
      <c r="BH25" s="119">
        <v>0</v>
      </c>
      <c r="BI25" s="119">
        <v>16.147850714285713</v>
      </c>
      <c r="BJ25" s="119">
        <v>0</v>
      </c>
      <c r="BK25" s="119">
        <v>319.91024999999996</v>
      </c>
    </row>
    <row r="26" spans="1:63" s="68" customFormat="1" ht="12.75" customHeight="1">
      <c r="A26" s="114" t="s">
        <v>22</v>
      </c>
      <c r="B26" s="114" t="s">
        <v>22</v>
      </c>
      <c r="C26" s="115" t="s">
        <v>28</v>
      </c>
      <c r="D26" s="120">
        <v>4</v>
      </c>
      <c r="E26" s="43">
        <v>300</v>
      </c>
      <c r="F26" s="18">
        <f t="shared" si="0"/>
        <v>1200</v>
      </c>
      <c r="G26" s="28">
        <f t="shared" si="1"/>
        <v>92.307692307692307</v>
      </c>
      <c r="H26" s="121"/>
      <c r="I26" s="40">
        <f t="shared" si="2"/>
        <v>0</v>
      </c>
      <c r="J26" s="40">
        <f t="shared" si="3"/>
        <v>100</v>
      </c>
      <c r="K26" s="119">
        <f t="shared" si="4"/>
        <v>346.91220000000004</v>
      </c>
      <c r="L26" s="119">
        <v>0</v>
      </c>
      <c r="M26" s="119">
        <v>0</v>
      </c>
      <c r="N26" s="119">
        <v>15.72363402197802</v>
      </c>
      <c r="O26" s="119">
        <v>343.10096999999996</v>
      </c>
      <c r="P26" s="119">
        <v>0</v>
      </c>
      <c r="Q26" s="119">
        <v>0</v>
      </c>
      <c r="R26" s="119">
        <v>17.053339648351649</v>
      </c>
      <c r="S26" s="119">
        <v>346.91220000000004</v>
      </c>
      <c r="T26" s="119">
        <v>0</v>
      </c>
      <c r="U26" s="119">
        <v>0</v>
      </c>
      <c r="V26" s="119">
        <v>16.314706087912086</v>
      </c>
      <c r="W26" s="119">
        <v>347.55479999999994</v>
      </c>
      <c r="X26" s="119">
        <v>0</v>
      </c>
      <c r="Y26" s="119">
        <v>0</v>
      </c>
      <c r="Z26" s="119">
        <v>16.382217197802198</v>
      </c>
      <c r="AA26" s="119">
        <v>348.99299999999999</v>
      </c>
      <c r="AC26" s="119">
        <f t="shared" si="5"/>
        <v>346.91220000000004</v>
      </c>
      <c r="AD26" s="119">
        <v>0</v>
      </c>
      <c r="AE26" s="119">
        <v>0</v>
      </c>
      <c r="AF26" s="119">
        <v>0</v>
      </c>
      <c r="AG26" s="119">
        <v>343.10096999999996</v>
      </c>
      <c r="AH26" s="119">
        <v>0</v>
      </c>
      <c r="AI26" s="119">
        <v>0</v>
      </c>
      <c r="AJ26" s="119">
        <v>0</v>
      </c>
      <c r="AK26" s="119">
        <v>346.91220000000004</v>
      </c>
      <c r="AL26" s="119">
        <v>0</v>
      </c>
      <c r="AM26" s="119">
        <v>0</v>
      </c>
      <c r="AN26" s="119">
        <v>0</v>
      </c>
      <c r="AO26" s="119">
        <v>347.55479999999994</v>
      </c>
      <c r="AP26" s="119">
        <v>0</v>
      </c>
      <c r="AQ26" s="119">
        <v>0</v>
      </c>
      <c r="AR26" s="119">
        <v>0</v>
      </c>
      <c r="AS26" s="119">
        <v>348.99299999999999</v>
      </c>
      <c r="AU26" s="119">
        <f t="shared" si="6"/>
        <v>346.91220000000004</v>
      </c>
      <c r="AV26" s="119">
        <v>0</v>
      </c>
      <c r="AW26" s="119">
        <v>15.493430857142856</v>
      </c>
      <c r="AX26" s="119">
        <v>0</v>
      </c>
      <c r="AY26" s="119">
        <v>343.10096999999996</v>
      </c>
      <c r="AZ26" s="119">
        <v>0</v>
      </c>
      <c r="BA26" s="119">
        <v>16.354432285714285</v>
      </c>
      <c r="BB26" s="119">
        <v>0</v>
      </c>
      <c r="BC26" s="119">
        <v>346.91220000000004</v>
      </c>
      <c r="BD26" s="119">
        <v>0</v>
      </c>
      <c r="BE26" s="119">
        <v>16.081305428571426</v>
      </c>
      <c r="BF26" s="119">
        <v>0</v>
      </c>
      <c r="BG26" s="119">
        <v>347.55479999999994</v>
      </c>
      <c r="BH26" s="119">
        <v>0</v>
      </c>
      <c r="BI26" s="119">
        <v>16.147850714285713</v>
      </c>
      <c r="BJ26" s="119">
        <v>0</v>
      </c>
      <c r="BK26" s="119">
        <v>348.99299999999999</v>
      </c>
    </row>
    <row r="27" spans="1:63" s="68" customFormat="1" ht="12.75" customHeight="1">
      <c r="A27" s="114" t="s">
        <v>22</v>
      </c>
      <c r="B27" s="114" t="s">
        <v>22</v>
      </c>
      <c r="C27" s="115" t="s">
        <v>302</v>
      </c>
      <c r="D27" s="120">
        <v>2</v>
      </c>
      <c r="E27" s="43">
        <v>300</v>
      </c>
      <c r="F27" s="18">
        <f t="shared" si="0"/>
        <v>600</v>
      </c>
      <c r="G27" s="28">
        <f t="shared" si="1"/>
        <v>46.153846153846153</v>
      </c>
      <c r="H27" s="121"/>
      <c r="I27" s="40">
        <f t="shared" si="2"/>
        <v>0</v>
      </c>
      <c r="J27" s="40">
        <f t="shared" si="3"/>
        <v>50</v>
      </c>
      <c r="K27" s="119">
        <f t="shared" si="4"/>
        <v>346.91220000000004</v>
      </c>
      <c r="L27" s="119">
        <v>0</v>
      </c>
      <c r="M27" s="119">
        <v>0</v>
      </c>
      <c r="N27" s="119">
        <v>15.72363402197802</v>
      </c>
      <c r="O27" s="119">
        <v>343.10096999999996</v>
      </c>
      <c r="P27" s="119">
        <v>0</v>
      </c>
      <c r="Q27" s="119">
        <v>0</v>
      </c>
      <c r="R27" s="119">
        <v>17.053339648351649</v>
      </c>
      <c r="S27" s="119">
        <v>346.91220000000004</v>
      </c>
      <c r="T27" s="119">
        <v>0</v>
      </c>
      <c r="U27" s="119">
        <v>0</v>
      </c>
      <c r="V27" s="119">
        <v>16.314706087912086</v>
      </c>
      <c r="W27" s="119">
        <v>347.55479999999994</v>
      </c>
      <c r="X27" s="119">
        <v>0</v>
      </c>
      <c r="Y27" s="119">
        <v>0</v>
      </c>
      <c r="Z27" s="119">
        <v>16.382217197802198</v>
      </c>
      <c r="AA27" s="119">
        <v>348.99299999999999</v>
      </c>
      <c r="AC27" s="119">
        <f t="shared" si="5"/>
        <v>346.91220000000004</v>
      </c>
      <c r="AD27" s="119">
        <v>0</v>
      </c>
      <c r="AE27" s="119">
        <v>0</v>
      </c>
      <c r="AF27" s="119">
        <v>0</v>
      </c>
      <c r="AG27" s="119">
        <v>343.10096999999996</v>
      </c>
      <c r="AH27" s="119">
        <v>0</v>
      </c>
      <c r="AI27" s="119">
        <v>0</v>
      </c>
      <c r="AJ27" s="119">
        <v>0</v>
      </c>
      <c r="AK27" s="119">
        <v>346.91220000000004</v>
      </c>
      <c r="AL27" s="119">
        <v>0</v>
      </c>
      <c r="AM27" s="119">
        <v>0</v>
      </c>
      <c r="AN27" s="119">
        <v>0</v>
      </c>
      <c r="AO27" s="119">
        <v>347.55479999999994</v>
      </c>
      <c r="AP27" s="119">
        <v>0</v>
      </c>
      <c r="AQ27" s="119">
        <v>0</v>
      </c>
      <c r="AR27" s="119">
        <v>0</v>
      </c>
      <c r="AS27" s="119">
        <v>348.99299999999999</v>
      </c>
      <c r="AU27" s="119">
        <f t="shared" si="6"/>
        <v>346.91220000000004</v>
      </c>
      <c r="AV27" s="119">
        <v>0</v>
      </c>
      <c r="AW27" s="119">
        <v>15.493430857142856</v>
      </c>
      <c r="AX27" s="119">
        <v>0</v>
      </c>
      <c r="AY27" s="119">
        <v>343.10096999999996</v>
      </c>
      <c r="AZ27" s="119">
        <v>0</v>
      </c>
      <c r="BA27" s="119">
        <v>16.354432285714285</v>
      </c>
      <c r="BB27" s="119">
        <v>0</v>
      </c>
      <c r="BC27" s="119">
        <v>346.91220000000004</v>
      </c>
      <c r="BD27" s="119">
        <v>0</v>
      </c>
      <c r="BE27" s="119">
        <v>16.081305428571426</v>
      </c>
      <c r="BF27" s="119">
        <v>0</v>
      </c>
      <c r="BG27" s="119">
        <v>347.55479999999994</v>
      </c>
      <c r="BH27" s="119">
        <v>0</v>
      </c>
      <c r="BI27" s="119">
        <v>16.147850714285713</v>
      </c>
      <c r="BJ27" s="119">
        <v>0</v>
      </c>
      <c r="BK27" s="119">
        <v>348.99299999999999</v>
      </c>
    </row>
    <row r="28" spans="1:63" s="68" customFormat="1" ht="12.75" customHeight="1">
      <c r="A28" s="114" t="s">
        <v>22</v>
      </c>
      <c r="B28" s="114" t="s">
        <v>22</v>
      </c>
      <c r="C28" s="115" t="s">
        <v>29</v>
      </c>
      <c r="D28" s="120">
        <v>12</v>
      </c>
      <c r="E28" s="43">
        <v>250</v>
      </c>
      <c r="F28" s="18">
        <f t="shared" si="0"/>
        <v>3000</v>
      </c>
      <c r="G28" s="28">
        <f t="shared" si="1"/>
        <v>230.76923076923077</v>
      </c>
      <c r="H28" s="121"/>
      <c r="I28" s="40">
        <f t="shared" si="2"/>
        <v>0</v>
      </c>
      <c r="J28" s="40">
        <f t="shared" si="3"/>
        <v>250</v>
      </c>
      <c r="K28" s="119">
        <f t="shared" si="4"/>
        <v>289.09350000000001</v>
      </c>
      <c r="L28" s="119">
        <v>0</v>
      </c>
      <c r="M28" s="119">
        <v>0</v>
      </c>
      <c r="N28" s="119">
        <v>15.72363402197802</v>
      </c>
      <c r="O28" s="119">
        <v>285.91747499999997</v>
      </c>
      <c r="P28" s="119">
        <v>0</v>
      </c>
      <c r="Q28" s="119">
        <v>0</v>
      </c>
      <c r="R28" s="119">
        <v>17.053339648351649</v>
      </c>
      <c r="S28" s="119">
        <v>289.09350000000001</v>
      </c>
      <c r="T28" s="119">
        <v>0</v>
      </c>
      <c r="U28" s="119">
        <v>0</v>
      </c>
      <c r="V28" s="119">
        <v>16.314706087912086</v>
      </c>
      <c r="W28" s="119">
        <v>289.62900000000002</v>
      </c>
      <c r="X28" s="119">
        <v>0</v>
      </c>
      <c r="Y28" s="119">
        <v>0</v>
      </c>
      <c r="Z28" s="119">
        <v>16.382217197802198</v>
      </c>
      <c r="AA28" s="119">
        <v>290.82749999999999</v>
      </c>
      <c r="AC28" s="119">
        <f t="shared" si="5"/>
        <v>289.09350000000001</v>
      </c>
      <c r="AD28" s="119">
        <v>0</v>
      </c>
      <c r="AE28" s="119">
        <v>0</v>
      </c>
      <c r="AF28" s="119">
        <v>0</v>
      </c>
      <c r="AG28" s="119">
        <v>285.91747499999997</v>
      </c>
      <c r="AH28" s="119">
        <v>0</v>
      </c>
      <c r="AI28" s="119">
        <v>0</v>
      </c>
      <c r="AJ28" s="119">
        <v>0</v>
      </c>
      <c r="AK28" s="119">
        <v>289.09350000000001</v>
      </c>
      <c r="AL28" s="119">
        <v>0</v>
      </c>
      <c r="AM28" s="119">
        <v>0</v>
      </c>
      <c r="AN28" s="119">
        <v>0</v>
      </c>
      <c r="AO28" s="119">
        <v>289.62900000000002</v>
      </c>
      <c r="AP28" s="119">
        <v>0</v>
      </c>
      <c r="AQ28" s="119">
        <v>0</v>
      </c>
      <c r="AR28" s="119">
        <v>0</v>
      </c>
      <c r="AS28" s="119">
        <v>290.82749999999999</v>
      </c>
      <c r="AU28" s="119">
        <f t="shared" si="6"/>
        <v>289.09350000000001</v>
      </c>
      <c r="AV28" s="119">
        <v>0</v>
      </c>
      <c r="AW28" s="119">
        <v>15.493430857142856</v>
      </c>
      <c r="AX28" s="119">
        <v>0</v>
      </c>
      <c r="AY28" s="119">
        <v>285.91747499999997</v>
      </c>
      <c r="AZ28" s="119">
        <v>0</v>
      </c>
      <c r="BA28" s="119">
        <v>16.354432285714285</v>
      </c>
      <c r="BB28" s="119">
        <v>0</v>
      </c>
      <c r="BC28" s="119">
        <v>289.09350000000001</v>
      </c>
      <c r="BD28" s="119">
        <v>0</v>
      </c>
      <c r="BE28" s="119">
        <v>16.081305428571426</v>
      </c>
      <c r="BF28" s="119">
        <v>0</v>
      </c>
      <c r="BG28" s="119">
        <v>289.62900000000002</v>
      </c>
      <c r="BH28" s="119">
        <v>0</v>
      </c>
      <c r="BI28" s="119">
        <v>16.147850714285713</v>
      </c>
      <c r="BJ28" s="119">
        <v>0</v>
      </c>
      <c r="BK28" s="119">
        <v>290.82749999999999</v>
      </c>
    </row>
    <row r="29" spans="1:63" s="68" customFormat="1" ht="12.75" customHeight="1">
      <c r="A29" s="114" t="s">
        <v>22</v>
      </c>
      <c r="B29" s="114" t="s">
        <v>22</v>
      </c>
      <c r="C29" s="115" t="s">
        <v>30</v>
      </c>
      <c r="D29" s="120"/>
      <c r="E29" s="43">
        <v>250</v>
      </c>
      <c r="F29" s="18">
        <f t="shared" si="0"/>
        <v>0</v>
      </c>
      <c r="G29" s="28">
        <f t="shared" si="1"/>
        <v>0</v>
      </c>
      <c r="H29" s="121"/>
      <c r="I29" s="40">
        <f t="shared" si="2"/>
        <v>0</v>
      </c>
      <c r="J29" s="40" t="b">
        <f t="shared" si="3"/>
        <v>0</v>
      </c>
      <c r="K29" s="119">
        <f t="shared" si="4"/>
        <v>289.09350000000001</v>
      </c>
      <c r="L29" s="119">
        <v>0</v>
      </c>
      <c r="M29" s="119">
        <v>0</v>
      </c>
      <c r="N29" s="119">
        <v>15.72363402197802</v>
      </c>
      <c r="O29" s="119">
        <v>285.91747499999997</v>
      </c>
      <c r="P29" s="119">
        <v>0</v>
      </c>
      <c r="Q29" s="119">
        <v>0</v>
      </c>
      <c r="R29" s="119">
        <v>17.053339648351649</v>
      </c>
      <c r="S29" s="119">
        <v>289.09350000000001</v>
      </c>
      <c r="T29" s="119">
        <v>0</v>
      </c>
      <c r="U29" s="119">
        <v>0</v>
      </c>
      <c r="V29" s="119">
        <v>16.314706087912086</v>
      </c>
      <c r="W29" s="119">
        <v>289.62900000000002</v>
      </c>
      <c r="X29" s="119">
        <v>0</v>
      </c>
      <c r="Y29" s="119">
        <v>0</v>
      </c>
      <c r="Z29" s="119">
        <v>16.382217197802198</v>
      </c>
      <c r="AA29" s="119">
        <v>290.82749999999999</v>
      </c>
      <c r="AC29" s="119">
        <f t="shared" si="5"/>
        <v>289.09350000000001</v>
      </c>
      <c r="AD29" s="119">
        <v>0</v>
      </c>
      <c r="AE29" s="119">
        <v>0</v>
      </c>
      <c r="AF29" s="119">
        <v>0</v>
      </c>
      <c r="AG29" s="119">
        <v>285.91747499999997</v>
      </c>
      <c r="AH29" s="119">
        <v>0</v>
      </c>
      <c r="AI29" s="119">
        <v>0</v>
      </c>
      <c r="AJ29" s="119">
        <v>0</v>
      </c>
      <c r="AK29" s="119">
        <v>289.09350000000001</v>
      </c>
      <c r="AL29" s="119">
        <v>0</v>
      </c>
      <c r="AM29" s="119">
        <v>0</v>
      </c>
      <c r="AN29" s="119">
        <v>0</v>
      </c>
      <c r="AO29" s="119">
        <v>289.62900000000002</v>
      </c>
      <c r="AP29" s="119">
        <v>0</v>
      </c>
      <c r="AQ29" s="119">
        <v>0</v>
      </c>
      <c r="AR29" s="119">
        <v>0</v>
      </c>
      <c r="AS29" s="119">
        <v>290.82749999999999</v>
      </c>
      <c r="AU29" s="119">
        <f t="shared" si="6"/>
        <v>289.09350000000001</v>
      </c>
      <c r="AV29" s="119">
        <v>0</v>
      </c>
      <c r="AW29" s="119">
        <v>15.493430857142856</v>
      </c>
      <c r="AX29" s="119">
        <v>0</v>
      </c>
      <c r="AY29" s="119">
        <v>285.91747499999997</v>
      </c>
      <c r="AZ29" s="119">
        <v>0</v>
      </c>
      <c r="BA29" s="119">
        <v>16.354432285714285</v>
      </c>
      <c r="BB29" s="119">
        <v>0</v>
      </c>
      <c r="BC29" s="119">
        <v>289.09350000000001</v>
      </c>
      <c r="BD29" s="119">
        <v>0</v>
      </c>
      <c r="BE29" s="119">
        <v>16.081305428571426</v>
      </c>
      <c r="BF29" s="119">
        <v>0</v>
      </c>
      <c r="BG29" s="119">
        <v>289.62900000000002</v>
      </c>
      <c r="BH29" s="119">
        <v>0</v>
      </c>
      <c r="BI29" s="119">
        <v>16.147850714285713</v>
      </c>
      <c r="BJ29" s="119">
        <v>0</v>
      </c>
      <c r="BK29" s="119">
        <v>290.82749999999999</v>
      </c>
    </row>
    <row r="30" spans="1:63" s="68" customFormat="1" ht="12.75" customHeight="1">
      <c r="A30" s="114" t="s">
        <v>22</v>
      </c>
      <c r="B30" s="114" t="s">
        <v>22</v>
      </c>
      <c r="C30" s="122" t="s">
        <v>39</v>
      </c>
      <c r="D30" s="124"/>
      <c r="E30" s="43">
        <v>300</v>
      </c>
      <c r="F30" s="18">
        <f t="shared" si="0"/>
        <v>0</v>
      </c>
      <c r="G30" s="28">
        <f t="shared" si="1"/>
        <v>0</v>
      </c>
      <c r="H30" s="121"/>
      <c r="I30" s="40">
        <f t="shared" si="2"/>
        <v>0</v>
      </c>
      <c r="J30" s="40" t="b">
        <f t="shared" si="3"/>
        <v>0</v>
      </c>
      <c r="K30" s="119">
        <f t="shared" si="4"/>
        <v>346.91220000000004</v>
      </c>
      <c r="L30" s="119">
        <v>0</v>
      </c>
      <c r="M30" s="119">
        <v>0</v>
      </c>
      <c r="N30" s="119">
        <v>15.72363402197802</v>
      </c>
      <c r="O30" s="119">
        <v>343.10096999999996</v>
      </c>
      <c r="P30" s="119">
        <v>0</v>
      </c>
      <c r="Q30" s="119">
        <v>0</v>
      </c>
      <c r="R30" s="119">
        <v>17.053339648351649</v>
      </c>
      <c r="S30" s="119">
        <v>346.91220000000004</v>
      </c>
      <c r="T30" s="119">
        <v>0</v>
      </c>
      <c r="U30" s="119">
        <v>0</v>
      </c>
      <c r="V30" s="119">
        <v>16.314706087912086</v>
      </c>
      <c r="W30" s="119">
        <v>347.55479999999994</v>
      </c>
      <c r="X30" s="119">
        <v>0</v>
      </c>
      <c r="Y30" s="119">
        <v>0</v>
      </c>
      <c r="Z30" s="119">
        <v>16.382217197802198</v>
      </c>
      <c r="AA30" s="119">
        <v>348.99299999999999</v>
      </c>
      <c r="AC30" s="119">
        <f t="shared" si="5"/>
        <v>346.91220000000004</v>
      </c>
      <c r="AD30" s="119">
        <v>0</v>
      </c>
      <c r="AE30" s="119">
        <v>0</v>
      </c>
      <c r="AF30" s="119">
        <v>0</v>
      </c>
      <c r="AG30" s="119">
        <v>343.10096999999996</v>
      </c>
      <c r="AH30" s="119">
        <v>0</v>
      </c>
      <c r="AI30" s="119">
        <v>0</v>
      </c>
      <c r="AJ30" s="119">
        <v>0</v>
      </c>
      <c r="AK30" s="119">
        <v>346.91220000000004</v>
      </c>
      <c r="AL30" s="119">
        <v>0</v>
      </c>
      <c r="AM30" s="119">
        <v>0</v>
      </c>
      <c r="AN30" s="119">
        <v>0</v>
      </c>
      <c r="AO30" s="119">
        <v>347.55479999999994</v>
      </c>
      <c r="AP30" s="119">
        <v>0</v>
      </c>
      <c r="AQ30" s="119">
        <v>0</v>
      </c>
      <c r="AR30" s="119">
        <v>0</v>
      </c>
      <c r="AS30" s="119">
        <v>348.99299999999999</v>
      </c>
      <c r="AU30" s="119">
        <f t="shared" si="6"/>
        <v>346.91220000000004</v>
      </c>
      <c r="AV30" s="119">
        <v>0</v>
      </c>
      <c r="AW30" s="125">
        <v>15.493430857142856</v>
      </c>
      <c r="AX30" s="119">
        <v>0</v>
      </c>
      <c r="AY30" s="119">
        <v>343.10096999999996</v>
      </c>
      <c r="AZ30" s="119">
        <v>0</v>
      </c>
      <c r="BA30" s="119">
        <v>16.354432285714285</v>
      </c>
      <c r="BB30" s="119">
        <v>0</v>
      </c>
      <c r="BC30" s="119">
        <v>346.91220000000004</v>
      </c>
      <c r="BD30" s="119">
        <v>0</v>
      </c>
      <c r="BE30" s="119">
        <v>16.081305428571426</v>
      </c>
      <c r="BF30" s="119">
        <v>0</v>
      </c>
      <c r="BG30" s="119">
        <v>347.55479999999994</v>
      </c>
      <c r="BH30" s="119">
        <v>0</v>
      </c>
      <c r="BI30" s="119">
        <v>16.147850714285713</v>
      </c>
      <c r="BJ30" s="119">
        <v>0</v>
      </c>
      <c r="BK30" s="119">
        <v>348.99299999999999</v>
      </c>
    </row>
    <row r="31" spans="1:63" s="68" customFormat="1" ht="12.75" customHeight="1" thickBot="1">
      <c r="A31" s="114" t="s">
        <v>22</v>
      </c>
      <c r="B31" s="114" t="s">
        <v>22</v>
      </c>
      <c r="C31" s="122" t="s">
        <v>303</v>
      </c>
      <c r="D31" s="124"/>
      <c r="E31" s="43">
        <v>300</v>
      </c>
      <c r="F31" s="18">
        <f>IF(E31&gt;49.99,(K31*D31),(K31*D31)*$J$1)</f>
        <v>0</v>
      </c>
      <c r="G31" s="28">
        <f t="shared" si="1"/>
        <v>0</v>
      </c>
      <c r="H31" s="121"/>
      <c r="I31" s="40">
        <f t="shared" si="2"/>
        <v>0</v>
      </c>
      <c r="J31" s="40" t="b">
        <f t="shared" si="3"/>
        <v>0</v>
      </c>
      <c r="K31" s="119">
        <f t="shared" si="4"/>
        <v>346.91220000000004</v>
      </c>
      <c r="L31" s="119">
        <v>0</v>
      </c>
      <c r="M31" s="119">
        <v>0</v>
      </c>
      <c r="N31" s="119">
        <v>15.72363402197802</v>
      </c>
      <c r="O31" s="119">
        <v>343.10096999999996</v>
      </c>
      <c r="P31" s="119">
        <v>0</v>
      </c>
      <c r="Q31" s="119">
        <v>0</v>
      </c>
      <c r="R31" s="119">
        <v>17.053339648351649</v>
      </c>
      <c r="S31" s="119">
        <v>346.91220000000004</v>
      </c>
      <c r="T31" s="119">
        <v>0</v>
      </c>
      <c r="U31" s="119">
        <v>0</v>
      </c>
      <c r="V31" s="119">
        <v>16.314706087912086</v>
      </c>
      <c r="W31" s="119">
        <v>347.55479999999994</v>
      </c>
      <c r="X31" s="119">
        <v>0</v>
      </c>
      <c r="Y31" s="119">
        <v>0</v>
      </c>
      <c r="Z31" s="119">
        <v>16.382217197802198</v>
      </c>
      <c r="AA31" s="119">
        <v>348.99299999999999</v>
      </c>
      <c r="AC31" s="119">
        <f t="shared" si="5"/>
        <v>346.91220000000004</v>
      </c>
      <c r="AD31" s="119">
        <v>0</v>
      </c>
      <c r="AE31" s="119">
        <v>0</v>
      </c>
      <c r="AF31" s="119">
        <v>0</v>
      </c>
      <c r="AG31" s="119">
        <v>343.10096999999996</v>
      </c>
      <c r="AH31" s="119">
        <v>0</v>
      </c>
      <c r="AI31" s="119">
        <v>0</v>
      </c>
      <c r="AJ31" s="119">
        <v>0</v>
      </c>
      <c r="AK31" s="119">
        <v>346.91220000000004</v>
      </c>
      <c r="AL31" s="119">
        <v>0</v>
      </c>
      <c r="AM31" s="119">
        <v>0</v>
      </c>
      <c r="AN31" s="119">
        <v>0</v>
      </c>
      <c r="AO31" s="119">
        <v>347.55479999999994</v>
      </c>
      <c r="AP31" s="119">
        <v>0</v>
      </c>
      <c r="AQ31" s="119">
        <v>0</v>
      </c>
      <c r="AR31" s="119">
        <v>0</v>
      </c>
      <c r="AS31" s="119">
        <v>348.99299999999999</v>
      </c>
      <c r="AU31" s="119">
        <f t="shared" si="6"/>
        <v>346.91220000000004</v>
      </c>
      <c r="AV31" s="119">
        <v>0</v>
      </c>
      <c r="AW31" s="125">
        <v>15.493430857142856</v>
      </c>
      <c r="AX31" s="119">
        <v>0</v>
      </c>
      <c r="AY31" s="119">
        <v>343.10096999999996</v>
      </c>
      <c r="AZ31" s="119">
        <v>0</v>
      </c>
      <c r="BA31" s="119">
        <v>16.354432285714285</v>
      </c>
      <c r="BB31" s="119">
        <v>0</v>
      </c>
      <c r="BC31" s="119">
        <v>346.91220000000004</v>
      </c>
      <c r="BD31" s="119">
        <v>0</v>
      </c>
      <c r="BE31" s="119">
        <v>16.081305428571426</v>
      </c>
      <c r="BF31" s="119">
        <v>0</v>
      </c>
      <c r="BG31" s="119">
        <v>347.55479999999994</v>
      </c>
      <c r="BH31" s="119">
        <v>0</v>
      </c>
      <c r="BI31" s="119">
        <v>16.147850714285713</v>
      </c>
      <c r="BJ31" s="119">
        <v>0</v>
      </c>
      <c r="BK31" s="119">
        <v>348.99299999999999</v>
      </c>
    </row>
    <row r="32" spans="1:63" s="89" customFormat="1" ht="12.75" customHeight="1" thickBot="1">
      <c r="A32" s="1084" t="s">
        <v>116</v>
      </c>
      <c r="B32" s="1084" t="s">
        <v>115</v>
      </c>
      <c r="C32" s="126"/>
      <c r="D32" s="127">
        <f>SUM(D14:D31)</f>
        <v>24</v>
      </c>
      <c r="E32" s="128"/>
      <c r="F32" s="20">
        <f>SUM(F14:F31)</f>
        <v>7500</v>
      </c>
      <c r="G32" s="21">
        <f>SUM(G14:G31)</f>
        <v>576.92307692307691</v>
      </c>
      <c r="H32" s="129">
        <f>SUM(H14:H31)</f>
        <v>0</v>
      </c>
      <c r="I32" s="41">
        <f>SUM(I14:I31)</f>
        <v>0</v>
      </c>
      <c r="J32" s="22">
        <f>SUM(J14:J31)</f>
        <v>625</v>
      </c>
      <c r="AC32" s="119">
        <f t="shared" si="5"/>
        <v>0</v>
      </c>
      <c r="AU32" s="119">
        <f t="shared" si="6"/>
        <v>0</v>
      </c>
    </row>
    <row r="33" spans="1:63" ht="3.75" customHeight="1" thickBot="1">
      <c r="A33" s="1085"/>
      <c r="B33" s="1085"/>
      <c r="C33" s="130"/>
      <c r="AF33" s="63"/>
      <c r="AG33" s="63"/>
      <c r="AX33" s="63"/>
      <c r="AY33" s="63"/>
    </row>
    <row r="34" spans="1:63" s="138" customFormat="1" ht="15" customHeight="1" thickBot="1">
      <c r="A34" s="1086"/>
      <c r="B34" s="1086"/>
      <c r="C34" s="133" t="s">
        <v>304</v>
      </c>
      <c r="D34" s="134"/>
      <c r="E34" s="101" t="s">
        <v>31</v>
      </c>
      <c r="F34" s="101" t="s">
        <v>110</v>
      </c>
      <c r="G34" s="135" t="s">
        <v>83</v>
      </c>
      <c r="H34" s="135" t="s">
        <v>108</v>
      </c>
      <c r="I34" s="136" t="s">
        <v>108</v>
      </c>
      <c r="J34" s="137" t="s">
        <v>108</v>
      </c>
      <c r="N34" s="68"/>
      <c r="O34" s="68"/>
      <c r="AF34" s="68"/>
      <c r="AG34" s="68"/>
      <c r="AX34" s="68"/>
      <c r="AY34" s="68"/>
    </row>
    <row r="35" spans="1:63" s="68" customFormat="1" ht="12.75" customHeight="1">
      <c r="A35" s="114"/>
      <c r="B35" s="114"/>
      <c r="C35" s="139" t="s">
        <v>305</v>
      </c>
      <c r="D35" s="140"/>
      <c r="E35" s="120"/>
      <c r="F35" s="141"/>
      <c r="G35" s="142">
        <f>E35*F35</f>
        <v>0</v>
      </c>
      <c r="H35" s="28">
        <f>G35/$J$1</f>
        <v>0</v>
      </c>
      <c r="I35" s="143">
        <f>IF($H$32=0,0,H35)</f>
        <v>0</v>
      </c>
      <c r="J35" s="23">
        <f>IF($J$3=0,0,IF(B35="x",G35/$J$3,0))</f>
        <v>0</v>
      </c>
      <c r="K35" s="51"/>
    </row>
    <row r="36" spans="1:63" s="68" customFormat="1" ht="12.75" customHeight="1" thickBot="1">
      <c r="A36" s="114"/>
      <c r="B36" s="114"/>
      <c r="C36" s="115" t="s">
        <v>306</v>
      </c>
      <c r="D36" s="144"/>
      <c r="E36" s="120"/>
      <c r="F36" s="141">
        <v>200</v>
      </c>
      <c r="G36" s="145">
        <f>E36*F36</f>
        <v>0</v>
      </c>
      <c r="H36" s="30">
        <f>G36/$J$1</f>
        <v>0</v>
      </c>
      <c r="I36" s="143">
        <f>IF($H$32=0,0,H36)</f>
        <v>0</v>
      </c>
      <c r="J36" s="23">
        <f>IF($J$3=0,0,IF(B36="x",G36/$J$3,0))</f>
        <v>0</v>
      </c>
      <c r="K36" s="51"/>
    </row>
    <row r="37" spans="1:63" s="68" customFormat="1" ht="12.75" customHeight="1" thickBot="1">
      <c r="A37" s="114"/>
      <c r="B37" s="114"/>
      <c r="C37" s="146" t="s">
        <v>307</v>
      </c>
      <c r="D37" s="147"/>
      <c r="E37" s="148"/>
      <c r="F37" s="149"/>
      <c r="G37" s="150"/>
      <c r="H37" s="151"/>
      <c r="I37" s="152"/>
      <c r="J37" s="153"/>
      <c r="K37" s="154"/>
      <c r="L37" s="155"/>
      <c r="M37" s="155"/>
      <c r="N37" s="155"/>
      <c r="O37" s="155"/>
      <c r="P37" s="155"/>
      <c r="Q37" s="155"/>
      <c r="R37" s="155"/>
      <c r="S37" s="155"/>
      <c r="T37" s="155"/>
      <c r="U37" s="155"/>
      <c r="V37" s="155"/>
      <c r="W37" s="155"/>
      <c r="X37" s="155"/>
      <c r="Y37" s="155"/>
      <c r="Z37" s="155"/>
      <c r="AA37" s="155"/>
      <c r="AB37" s="155"/>
      <c r="AC37" s="155"/>
      <c r="AD37" s="155"/>
      <c r="AE37" s="155"/>
      <c r="AF37" s="155"/>
      <c r="AG37" s="155"/>
      <c r="AH37" s="155"/>
      <c r="AI37" s="155"/>
      <c r="AJ37" s="155"/>
      <c r="AK37" s="155"/>
      <c r="AL37" s="155"/>
      <c r="AM37" s="155"/>
      <c r="AN37" s="155"/>
      <c r="AO37" s="155"/>
      <c r="AP37" s="155"/>
      <c r="AQ37" s="155"/>
      <c r="AR37" s="155"/>
      <c r="AS37" s="155"/>
      <c r="AT37" s="155"/>
      <c r="AU37" s="155"/>
      <c r="AV37" s="155"/>
      <c r="AW37" s="155"/>
      <c r="AX37" s="155"/>
      <c r="AY37" s="155"/>
      <c r="AZ37" s="155"/>
      <c r="BA37" s="155"/>
      <c r="BB37" s="155"/>
      <c r="BC37" s="155"/>
      <c r="BD37" s="155"/>
      <c r="BE37" s="155"/>
      <c r="BF37" s="155"/>
      <c r="BG37" s="155"/>
      <c r="BH37" s="155"/>
      <c r="BI37" s="155"/>
      <c r="BJ37" s="155"/>
      <c r="BK37" s="155"/>
    </row>
    <row r="38" spans="1:63" s="68" customFormat="1" ht="12.75" customHeight="1">
      <c r="A38" s="114"/>
      <c r="B38" s="114" t="s">
        <v>22</v>
      </c>
      <c r="C38" s="156" t="s">
        <v>308</v>
      </c>
      <c r="D38" s="157"/>
      <c r="E38" s="116">
        <v>400</v>
      </c>
      <c r="F38" s="53">
        <v>11</v>
      </c>
      <c r="G38" s="158">
        <f>F38*E38</f>
        <v>4400</v>
      </c>
      <c r="H38" s="159">
        <f>G38/$J$1</f>
        <v>338.46153846153845</v>
      </c>
      <c r="I38" s="160">
        <f>IF($H$32=0,0,H38*$E$12)</f>
        <v>0</v>
      </c>
      <c r="J38" s="161">
        <f>IF($J$3=0,0,IF(B38="x",G38/$J$3,0))*K38</f>
        <v>91.666666666666671</v>
      </c>
      <c r="K38" s="51">
        <v>0.25</v>
      </c>
      <c r="L38" s="162"/>
      <c r="M38" s="162"/>
      <c r="AD38" s="162"/>
      <c r="AE38" s="162"/>
      <c r="AV38" s="162"/>
      <c r="AW38" s="162"/>
    </row>
    <row r="39" spans="1:63" s="68" customFormat="1" ht="12.75" customHeight="1" thickBot="1">
      <c r="A39" s="114"/>
      <c r="B39" s="114"/>
      <c r="C39" s="163" t="s">
        <v>309</v>
      </c>
      <c r="D39" s="164"/>
      <c r="E39" s="165">
        <f>E38</f>
        <v>400</v>
      </c>
      <c r="F39" s="166">
        <f>IF(E38=0,0,F38*D39)</f>
        <v>0</v>
      </c>
      <c r="G39" s="167">
        <f>(E39*F39)*J1</f>
        <v>0</v>
      </c>
      <c r="H39" s="168">
        <f>G39/$J$1</f>
        <v>0</v>
      </c>
      <c r="I39" s="169">
        <f>IF($H$32=0,0,H39*$E$12)</f>
        <v>0</v>
      </c>
      <c r="J39" s="170">
        <f>IF($J$3=0,0,IF(B39="x",G39/$J$3,0))</f>
        <v>0</v>
      </c>
      <c r="K39" s="51">
        <v>0.25</v>
      </c>
    </row>
    <row r="40" spans="1:63" s="68" customFormat="1" ht="12.75" customHeight="1">
      <c r="A40" s="114"/>
      <c r="B40" s="114" t="s">
        <v>22</v>
      </c>
      <c r="C40" s="171" t="s">
        <v>166</v>
      </c>
      <c r="D40" s="172"/>
      <c r="E40" s="173">
        <f>E38</f>
        <v>400</v>
      </c>
      <c r="F40" s="53">
        <v>1</v>
      </c>
      <c r="G40" s="18">
        <f>(E40*F40)</f>
        <v>400</v>
      </c>
      <c r="H40" s="28">
        <f>G40/$J$1</f>
        <v>30.76923076923077</v>
      </c>
      <c r="I40" s="174"/>
      <c r="J40" s="24">
        <f>IF($J$3=0,0,IF(B40="x",G40/$J$3,0))*K40</f>
        <v>8.3333333333333339</v>
      </c>
      <c r="K40" s="51">
        <v>0.25</v>
      </c>
    </row>
    <row r="41" spans="1:63" s="68" customFormat="1" ht="12.75" customHeight="1" thickBot="1">
      <c r="A41" s="114"/>
      <c r="B41" s="114"/>
      <c r="C41" s="175" t="s">
        <v>310</v>
      </c>
      <c r="D41" s="164"/>
      <c r="E41" s="176">
        <f>E40</f>
        <v>400</v>
      </c>
      <c r="F41" s="56">
        <f>F40*D41</f>
        <v>0</v>
      </c>
      <c r="G41" s="18">
        <f>(E41*F41)</f>
        <v>0</v>
      </c>
      <c r="H41" s="28">
        <f>G41/$J$1</f>
        <v>0</v>
      </c>
      <c r="I41" s="143">
        <f>IF($H$32=0,0,H41)</f>
        <v>0</v>
      </c>
      <c r="J41" s="23">
        <f>IF($J$3=0,0,IF(B41="x",G41/$J$3,0))</f>
        <v>0</v>
      </c>
      <c r="K41" s="51">
        <v>0.25</v>
      </c>
    </row>
    <row r="42" spans="1:63" s="68" customFormat="1" ht="12.75" customHeight="1" thickBot="1">
      <c r="A42" s="114"/>
      <c r="B42" s="114"/>
      <c r="C42" s="177" t="s">
        <v>311</v>
      </c>
      <c r="D42" s="178"/>
      <c r="E42" s="179"/>
      <c r="F42" s="42"/>
      <c r="G42" s="18">
        <f>IF(D42="SPEC",0,(E42*F42))</f>
        <v>0</v>
      </c>
      <c r="H42" s="28">
        <f>G42/$J$1</f>
        <v>0</v>
      </c>
      <c r="I42" s="180"/>
      <c r="J42" s="23">
        <f>IF($J$3=0,0,IF(B42="x",G42/$J$3,0))</f>
        <v>0</v>
      </c>
      <c r="K42" s="51">
        <v>0.25</v>
      </c>
    </row>
    <row r="43" spans="1:63" s="89" customFormat="1" ht="12.75" customHeight="1" thickBot="1">
      <c r="A43" s="1084" t="s">
        <v>116</v>
      </c>
      <c r="B43" s="1084" t="s">
        <v>115</v>
      </c>
      <c r="C43" s="126"/>
      <c r="D43" s="181"/>
      <c r="E43" s="182"/>
      <c r="F43" s="183"/>
      <c r="G43" s="184">
        <f>SUM(G35:G42)</f>
        <v>4800</v>
      </c>
      <c r="H43" s="185">
        <f>SUM(H35:H42)</f>
        <v>369.23076923076923</v>
      </c>
      <c r="I43" s="186">
        <f>SUM(I35:I42)</f>
        <v>0</v>
      </c>
      <c r="J43" s="187">
        <f>SUM(J35:J42)</f>
        <v>100</v>
      </c>
      <c r="N43" s="68"/>
      <c r="O43" s="68"/>
      <c r="AF43" s="68"/>
      <c r="AG43" s="68"/>
      <c r="AX43" s="68"/>
      <c r="AY43" s="68"/>
    </row>
    <row r="44" spans="1:63" s="189" customFormat="1" ht="3.75" customHeight="1" thickBot="1">
      <c r="A44" s="1085"/>
      <c r="B44" s="1085"/>
      <c r="C44" s="188"/>
      <c r="I44" s="190"/>
      <c r="J44" s="191"/>
      <c r="N44" s="63"/>
      <c r="O44" s="63"/>
      <c r="AF44" s="63"/>
      <c r="AG44" s="63"/>
      <c r="AX44" s="63"/>
      <c r="AY44" s="63"/>
    </row>
    <row r="45" spans="1:63" s="193" customFormat="1" ht="15" customHeight="1" thickBot="1">
      <c r="A45" s="1086"/>
      <c r="B45" s="1086"/>
      <c r="C45" s="133" t="s">
        <v>312</v>
      </c>
      <c r="D45" s="101" t="s">
        <v>31</v>
      </c>
      <c r="E45" s="101" t="s">
        <v>110</v>
      </c>
      <c r="F45" s="135" t="s">
        <v>83</v>
      </c>
      <c r="G45" s="135" t="s">
        <v>108</v>
      </c>
      <c r="H45" s="192" t="s">
        <v>31</v>
      </c>
      <c r="I45" s="136" t="s">
        <v>108</v>
      </c>
      <c r="J45" s="137" t="s">
        <v>108</v>
      </c>
      <c r="N45" s="68"/>
      <c r="O45" s="68"/>
      <c r="AF45" s="68"/>
      <c r="AG45" s="68"/>
      <c r="AX45" s="68"/>
      <c r="AY45" s="68"/>
    </row>
    <row r="46" spans="1:63" s="68" customFormat="1" ht="12.75" customHeight="1">
      <c r="A46" s="114" t="s">
        <v>22</v>
      </c>
      <c r="B46" s="194" t="s">
        <v>22</v>
      </c>
      <c r="C46" s="195" t="s">
        <v>313</v>
      </c>
      <c r="D46" s="196">
        <v>10</v>
      </c>
      <c r="E46" s="42">
        <v>100</v>
      </c>
      <c r="F46" s="49">
        <f>IF(OR($G$2="BC",$G$2="SK",$G$2="MN"),(D46*E46)*(1+$G$3),D46*E46)</f>
        <v>1080</v>
      </c>
      <c r="G46" s="28">
        <f t="shared" ref="G46:G57" si="7">F46/$J$1</f>
        <v>83.07692307692308</v>
      </c>
      <c r="H46" s="197"/>
      <c r="I46" s="36">
        <f>IF(H46=0,0,(F46/$J$2)*$E$12)</f>
        <v>0</v>
      </c>
      <c r="J46" s="24">
        <f>IF($J$3=0,0,IF(B46="x",F46/$J$3,0))*K46</f>
        <v>13.5</v>
      </c>
      <c r="K46" s="51">
        <v>0.15</v>
      </c>
    </row>
    <row r="47" spans="1:63" s="68" customFormat="1" ht="12.75" customHeight="1">
      <c r="A47" s="114"/>
      <c r="B47" s="194"/>
      <c r="C47" s="198" t="s">
        <v>314</v>
      </c>
      <c r="D47" s="199"/>
      <c r="E47" s="43">
        <v>100</v>
      </c>
      <c r="F47" s="49">
        <f>IF(OR($G$2="BC",$G$2="SK",$G$2="MN"),(D47*E47)*(1+$G$3),D47*E47)</f>
        <v>0</v>
      </c>
      <c r="G47" s="31">
        <f t="shared" si="7"/>
        <v>0</v>
      </c>
      <c r="H47" s="200"/>
      <c r="I47" s="33">
        <f>IF(H47=0,0,(F47/$J$2)*$E$12)</f>
        <v>0</v>
      </c>
      <c r="J47" s="24">
        <f>IF($J$3=0,0,IF(B47="x",F47/$J$3,0))*K47</f>
        <v>0</v>
      </c>
      <c r="K47" s="51"/>
    </row>
    <row r="48" spans="1:63" s="68" customFormat="1" ht="12.75" customHeight="1">
      <c r="A48" s="114"/>
      <c r="B48" s="194"/>
      <c r="C48" s="198" t="s">
        <v>315</v>
      </c>
      <c r="D48" s="199"/>
      <c r="E48" s="43">
        <v>100</v>
      </c>
      <c r="F48" s="49">
        <f>IF(OR($G$2="BC",$G$2="SK",$G$2="MN"),(D48*E48)*(1+$G$3),D48*E48)</f>
        <v>0</v>
      </c>
      <c r="G48" s="31">
        <f t="shared" si="7"/>
        <v>0</v>
      </c>
      <c r="H48" s="200"/>
      <c r="I48" s="33">
        <f>IF(H48=0,0,(F48/$J$2)*$E$12)</f>
        <v>0</v>
      </c>
      <c r="J48" s="24">
        <f>IF($J$3=0,0,IF(B48="x",F48/$J$3,0))*K48</f>
        <v>0</v>
      </c>
      <c r="K48" s="51"/>
    </row>
    <row r="49" spans="1:65" s="68" customFormat="1" ht="12.75" customHeight="1">
      <c r="A49" s="114"/>
      <c r="B49" s="194"/>
      <c r="C49" s="198" t="s">
        <v>316</v>
      </c>
      <c r="D49" s="199"/>
      <c r="E49" s="43">
        <v>1000</v>
      </c>
      <c r="F49" s="49">
        <f>IF(OR($G$2="BC",$G$2="SK",$G$2="MN"),(D49*E49)*(1+$G$3),D49*E49)</f>
        <v>0</v>
      </c>
      <c r="G49" s="31">
        <f t="shared" si="7"/>
        <v>0</v>
      </c>
      <c r="H49" s="201">
        <f>D49</f>
        <v>0</v>
      </c>
      <c r="I49" s="33">
        <f>IF(H49=0,0,(F49/$J$2)*$E$12)</f>
        <v>0</v>
      </c>
      <c r="J49" s="24">
        <f>IF($J$3=0,0,IF(B49="x",F50/$J$3,0))*K49</f>
        <v>0</v>
      </c>
      <c r="K49" s="51"/>
    </row>
    <row r="50" spans="1:65" s="68" customFormat="1" ht="12.75" customHeight="1">
      <c r="A50" s="202">
        <v>1</v>
      </c>
      <c r="B50" s="203" t="s">
        <v>22</v>
      </c>
      <c r="C50" s="115" t="s">
        <v>76</v>
      </c>
      <c r="D50" s="204">
        <f>SUM(D46:D48)</f>
        <v>10</v>
      </c>
      <c r="E50" s="43">
        <v>150</v>
      </c>
      <c r="F50" s="205">
        <f>(D50*E50)</f>
        <v>1500</v>
      </c>
      <c r="G50" s="30">
        <f t="shared" si="7"/>
        <v>115.38461538461539</v>
      </c>
      <c r="H50" s="206">
        <f>SUM(H46:H48)</f>
        <v>0</v>
      </c>
      <c r="I50" s="33">
        <f>IF(H50=0,0,H50*E50/$J$2)</f>
        <v>0</v>
      </c>
      <c r="J50" s="24">
        <f>IF($J$3=0,0,IF(B50="x",F50/$J$3,0))*K50</f>
        <v>18.75</v>
      </c>
      <c r="K50" s="51">
        <v>0.15</v>
      </c>
    </row>
    <row r="51" spans="1:65" s="68" customFormat="1" ht="12.75" customHeight="1">
      <c r="A51" s="114"/>
      <c r="B51" s="194"/>
      <c r="C51" s="198" t="s">
        <v>77</v>
      </c>
      <c r="D51" s="207">
        <f>D49</f>
        <v>0</v>
      </c>
      <c r="E51" s="43">
        <v>350</v>
      </c>
      <c r="F51" s="205">
        <f>(D51*E51)</f>
        <v>0</v>
      </c>
      <c r="G51" s="31">
        <f t="shared" si="7"/>
        <v>0</v>
      </c>
      <c r="H51" s="208">
        <f>H49</f>
        <v>0</v>
      </c>
      <c r="I51" s="33">
        <f>IF(H51=0,0,(F51/$J$2)*$E$12)</f>
        <v>0</v>
      </c>
      <c r="J51" s="23">
        <f>IF($J$3=0,0,IF(B51="x",F51/$J$3,0))*K51</f>
        <v>0</v>
      </c>
      <c r="K51" s="51"/>
    </row>
    <row r="52" spans="1:65" s="68" customFormat="1" ht="12.75" customHeight="1">
      <c r="A52" s="114"/>
      <c r="B52" s="194"/>
      <c r="C52" s="209" t="s">
        <v>145</v>
      </c>
      <c r="D52" s="199">
        <v>1</v>
      </c>
      <c r="E52" s="43">
        <v>400</v>
      </c>
      <c r="F52" s="205">
        <f>(D52*E52)</f>
        <v>400</v>
      </c>
      <c r="G52" s="30">
        <f t="shared" si="7"/>
        <v>30.76923076923077</v>
      </c>
      <c r="H52" s="210"/>
      <c r="I52" s="211"/>
      <c r="J52" s="23">
        <f>IF($J$3=0,0,IF(B52="x",F52/$J$3,0))*K52</f>
        <v>0</v>
      </c>
      <c r="K52" s="51"/>
    </row>
    <row r="53" spans="1:65" s="68" customFormat="1" ht="12.75" customHeight="1" thickBot="1">
      <c r="A53" s="114"/>
      <c r="B53" s="194"/>
      <c r="C53" s="212" t="s">
        <v>33</v>
      </c>
      <c r="D53" s="213">
        <v>2</v>
      </c>
      <c r="E53" s="214">
        <v>100</v>
      </c>
      <c r="F53" s="215">
        <f>(D53*E53)</f>
        <v>200</v>
      </c>
      <c r="G53" s="216">
        <f t="shared" si="7"/>
        <v>15.384615384615385</v>
      </c>
      <c r="H53" s="217"/>
      <c r="I53" s="34">
        <f>IF(H53=0,0,(F53/$J$2)*$E$12)</f>
        <v>0</v>
      </c>
      <c r="J53" s="23">
        <f>IF($J$3=0,0,IF(B53="x",F53/$J$3,0))*K53</f>
        <v>0</v>
      </c>
      <c r="K53" s="51"/>
    </row>
    <row r="54" spans="1:65" s="68" customFormat="1" ht="12">
      <c r="A54" s="114" t="s">
        <v>22</v>
      </c>
      <c r="B54" s="194" t="s">
        <v>22</v>
      </c>
      <c r="C54" s="218" t="s">
        <v>107</v>
      </c>
      <c r="D54" s="26">
        <f>D32</f>
        <v>24</v>
      </c>
      <c r="E54" s="219">
        <v>40</v>
      </c>
      <c r="F54" s="205">
        <f>IF($G$2="AB",E54+(E54*G3),IF($G$2="BC",E54+(E54*G3),IF($G$2="SK",E54+(E54*G3),0)))*D54</f>
        <v>1036.8000000000002</v>
      </c>
      <c r="G54" s="19">
        <f t="shared" si="7"/>
        <v>79.753846153846169</v>
      </c>
      <c r="H54" s="35">
        <f>H32</f>
        <v>0</v>
      </c>
      <c r="I54" s="36">
        <f>IF(H54=0,0,(H32*E54)/J2)</f>
        <v>0</v>
      </c>
      <c r="J54" s="24">
        <f>IF($J$3=0,0,IF(B54="x",SUM(D54,H54)*E54)/$J$3)</f>
        <v>80</v>
      </c>
      <c r="BJ54" s="68">
        <v>1100</v>
      </c>
      <c r="BK54" s="68">
        <f>BJ54/1.072</f>
        <v>1026.1194029850747</v>
      </c>
      <c r="BL54" s="68">
        <f>BK54/1.115</f>
        <v>920.28646007630016</v>
      </c>
      <c r="BM54" s="68">
        <f>BL54-104.17</f>
        <v>816.1164600763002</v>
      </c>
    </row>
    <row r="55" spans="1:65" s="68" customFormat="1" ht="12">
      <c r="A55" s="114"/>
      <c r="B55" s="194"/>
      <c r="C55" s="220" t="s">
        <v>317</v>
      </c>
      <c r="D55" s="221" t="s">
        <v>318</v>
      </c>
      <c r="E55" s="1"/>
      <c r="F55" s="205">
        <f>IF($G$2="AB",E55+(E55*0.05),IF($G$2="BC",E55+(E55*0.05),IF($G$2="SK",E55+(E55*0.05),0)))</f>
        <v>0</v>
      </c>
      <c r="G55" s="32">
        <f t="shared" si="7"/>
        <v>0</v>
      </c>
      <c r="H55" s="200" t="s">
        <v>318</v>
      </c>
      <c r="I55" s="211"/>
      <c r="J55" s="23">
        <f>IF($J$3=0,0,IF(B55="x",F55/$J$3,0))</f>
        <v>0</v>
      </c>
      <c r="P55" s="155"/>
      <c r="Q55" s="155"/>
      <c r="R55" s="155"/>
      <c r="S55" s="155"/>
      <c r="BJ55" s="68">
        <v>830</v>
      </c>
      <c r="BK55" s="68">
        <f>BJ55/1.072</f>
        <v>774.25373134328356</v>
      </c>
      <c r="BL55" s="68">
        <f>BK55/1.115</f>
        <v>694.39796533029914</v>
      </c>
      <c r="BM55" s="68">
        <f>BL55-104.17</f>
        <v>590.22796533029918</v>
      </c>
    </row>
    <row r="56" spans="1:65" s="68" customFormat="1" ht="12">
      <c r="A56" s="114"/>
      <c r="B56" s="194"/>
      <c r="C56" s="220" t="s">
        <v>44</v>
      </c>
      <c r="D56" s="222">
        <f>SUM(D14:D21)</f>
        <v>4</v>
      </c>
      <c r="E56" s="1">
        <v>110</v>
      </c>
      <c r="F56" s="205">
        <f>IF($G$2="AB",E56+(E56*0.05),IF($G$2="BC",E56+(E56*0.05),IF($G$2="SK",E56+(E56*0.05),0)))*D56</f>
        <v>462</v>
      </c>
      <c r="G56" s="32">
        <f t="shared" si="7"/>
        <v>35.53846153846154</v>
      </c>
      <c r="H56" s="223">
        <f>SUM(H14:H21)</f>
        <v>0</v>
      </c>
      <c r="I56" s="33">
        <f>IF(H56=0,0,H56*E56/$J$2)</f>
        <v>0</v>
      </c>
      <c r="J56" s="23">
        <f>IF($J$3=0,0,(SUM(D56,H56)*E56)/$J$3)</f>
        <v>36.666666666666664</v>
      </c>
      <c r="P56" s="155"/>
      <c r="Q56" s="155"/>
      <c r="R56" s="155"/>
      <c r="S56" s="155"/>
      <c r="BJ56" s="68">
        <v>605</v>
      </c>
      <c r="BK56" s="68">
        <f>BJ56/1.072</f>
        <v>564.36567164179098</v>
      </c>
      <c r="BL56" s="68">
        <f>BK56/1.115</f>
        <v>506.157553041965</v>
      </c>
      <c r="BM56" s="68">
        <f>BL56-104.17</f>
        <v>401.98755304196499</v>
      </c>
    </row>
    <row r="57" spans="1:65" ht="13.5" thickBot="1">
      <c r="A57" s="114"/>
      <c r="B57" s="194"/>
      <c r="C57" s="224" t="s">
        <v>45</v>
      </c>
      <c r="D57" s="225">
        <f>ROUNDUP(SUM(D22:D31)/2,-0.1)</f>
        <v>10</v>
      </c>
      <c r="E57" s="10">
        <v>130</v>
      </c>
      <c r="F57" s="205">
        <f>IF($G$2="AB",E57+(E57*0.05),IF($G$2="BC",E57+(E57*0.05),IF($G$2="SK",E57+(E57*0.05),0)))*D57</f>
        <v>1365</v>
      </c>
      <c r="G57" s="32">
        <f t="shared" si="7"/>
        <v>105</v>
      </c>
      <c r="H57" s="226">
        <f>ROUNDUP(SUM(H22:H31)/2,-0.1)</f>
        <v>0</v>
      </c>
      <c r="I57" s="34">
        <f>IF(H57=0,0,H57*E57/$J$2)</f>
        <v>0</v>
      </c>
      <c r="J57" s="23">
        <f>IF($J$3=0,0,(SUM(D57,H57)*E57)/$J$3)</f>
        <v>108.33333333333333</v>
      </c>
      <c r="N57" s="58"/>
      <c r="P57" s="227"/>
      <c r="Q57" s="227"/>
      <c r="R57" s="227"/>
      <c r="S57" s="227"/>
    </row>
    <row r="58" spans="1:65" ht="13.5" thickBot="1">
      <c r="C58" s="228"/>
      <c r="D58" s="229"/>
      <c r="E58" s="229"/>
      <c r="F58" s="184">
        <f>SUM(F46:F57)</f>
        <v>6043.8</v>
      </c>
      <c r="G58" s="185">
        <f>SUM(G46:G57)</f>
        <v>464.90769230769234</v>
      </c>
      <c r="H58" s="230"/>
      <c r="I58" s="29">
        <f>SUM(I46:I57)</f>
        <v>0</v>
      </c>
      <c r="J58" s="25">
        <f>SUM(J46:J57)</f>
        <v>257.25</v>
      </c>
      <c r="AF58" s="63"/>
      <c r="AG58" s="63"/>
      <c r="AX58" s="63"/>
      <c r="AY58" s="63"/>
    </row>
    <row r="59" spans="1:65" s="231" customFormat="1" ht="3.75" customHeight="1" thickBot="1">
      <c r="C59" s="232"/>
      <c r="D59" s="233"/>
      <c r="E59" s="233"/>
      <c r="F59" s="233"/>
      <c r="G59" s="234"/>
      <c r="H59" s="235"/>
      <c r="I59" s="236"/>
      <c r="J59" s="236"/>
      <c r="N59" s="237"/>
      <c r="O59" s="237"/>
      <c r="AF59" s="237"/>
      <c r="AG59" s="237"/>
      <c r="AX59" s="237"/>
      <c r="AY59" s="237"/>
    </row>
    <row r="60" spans="1:65" ht="14.25" thickTop="1" thickBot="1">
      <c r="C60" s="238" t="s">
        <v>113</v>
      </c>
      <c r="D60" s="229"/>
      <c r="E60" s="229"/>
      <c r="F60" s="239" t="s">
        <v>319</v>
      </c>
      <c r="G60" s="240">
        <f>SUM(G32,H43,G58)</f>
        <v>1411.0615384615385</v>
      </c>
      <c r="I60" s="241">
        <f>SUM(I32,I43,I58)</f>
        <v>0</v>
      </c>
      <c r="J60" s="242">
        <f>(J32+J43+J58)-(J43*0.65)</f>
        <v>917.25</v>
      </c>
      <c r="AF60" s="63"/>
      <c r="AG60" s="63"/>
      <c r="AX60" s="63"/>
      <c r="AY60" s="63"/>
    </row>
    <row r="61" spans="1:65" ht="14.25" thickTop="1" thickBot="1">
      <c r="C61" s="27">
        <f>(SUMIF($A$14:$A$31,"=x",G14:G31)+SUMIF($A$14:$A$31,"=x",I14:I31)+SUMIF(A35:A42,"=X",H35:H42)+SUMIF(A46:A57,"=X",G46:G57)+IF(A50&gt;0,G50*A50))</f>
        <v>855.13846153846146</v>
      </c>
      <c r="D61" s="229"/>
      <c r="E61" s="229"/>
      <c r="F61" s="239" t="s">
        <v>320</v>
      </c>
      <c r="G61" s="240">
        <f>G60-SUM(G50:G51,G54:G57)</f>
        <v>1075.3846153846152</v>
      </c>
      <c r="I61" s="241">
        <f>I60-SUM(I50:I51,I54:I57)</f>
        <v>0</v>
      </c>
      <c r="J61" s="242">
        <f>J60-SUM(J50:J51,J54:J57)</f>
        <v>673.5</v>
      </c>
      <c r="AF61" s="63"/>
      <c r="AG61" s="63"/>
      <c r="AX61" s="63"/>
      <c r="AY61" s="63"/>
    </row>
    <row r="62" spans="1:65" s="243" customFormat="1" ht="17.25" thickTop="1" thickBot="1">
      <c r="B62" s="243">
        <v>0</v>
      </c>
      <c r="C62" s="244">
        <v>850</v>
      </c>
      <c r="D62" s="1062" t="s">
        <v>117</v>
      </c>
      <c r="E62" s="1063"/>
      <c r="F62" s="1064"/>
      <c r="G62" s="244">
        <v>1400</v>
      </c>
      <c r="I62" s="245"/>
      <c r="J62" s="244">
        <v>915</v>
      </c>
      <c r="K62" s="246"/>
      <c r="L62" s="246"/>
      <c r="M62" s="246"/>
      <c r="N62" s="246"/>
      <c r="O62" s="246"/>
      <c r="P62" s="246"/>
      <c r="Q62" s="246"/>
      <c r="R62" s="246"/>
      <c r="S62" s="246"/>
      <c r="T62" s="246"/>
      <c r="U62" s="246"/>
      <c r="V62" s="246"/>
      <c r="W62" s="246"/>
      <c r="X62" s="246"/>
      <c r="Y62" s="246"/>
      <c r="Z62" s="246"/>
      <c r="AA62" s="246"/>
      <c r="AB62" s="246"/>
      <c r="AC62" s="246"/>
      <c r="AD62" s="246"/>
      <c r="AE62" s="246"/>
      <c r="AF62" s="246"/>
      <c r="AG62" s="246"/>
      <c r="AH62" s="246"/>
      <c r="AI62" s="246"/>
      <c r="AJ62" s="246"/>
      <c r="AK62" s="246"/>
      <c r="AL62" s="246"/>
      <c r="AM62" s="246"/>
      <c r="AN62" s="246"/>
      <c r="AO62" s="246"/>
      <c r="AP62" s="246"/>
      <c r="AQ62" s="246"/>
      <c r="AR62" s="246"/>
      <c r="AS62" s="246"/>
      <c r="AT62" s="246"/>
      <c r="AU62" s="246"/>
      <c r="AV62" s="246"/>
      <c r="AW62" s="246"/>
      <c r="AX62" s="246"/>
      <c r="AY62" s="246"/>
      <c r="AZ62" s="246"/>
      <c r="BA62" s="246"/>
      <c r="BB62" s="246"/>
      <c r="BC62" s="246"/>
      <c r="BD62" s="246"/>
      <c r="BE62" s="246"/>
      <c r="BF62" s="246"/>
      <c r="BG62" s="246"/>
      <c r="BH62" s="246"/>
      <c r="BI62" s="246"/>
      <c r="BJ62" s="246"/>
      <c r="BK62" s="246"/>
    </row>
    <row r="63" spans="1:65" s="247" customFormat="1" ht="21.75" customHeight="1" thickTop="1">
      <c r="C63" s="248" t="s">
        <v>321</v>
      </c>
      <c r="D63" s="248"/>
      <c r="E63" s="248"/>
      <c r="F63" s="248"/>
      <c r="G63" s="248"/>
      <c r="H63" s="248"/>
      <c r="I63" s="248"/>
      <c r="J63" s="248"/>
      <c r="N63" s="249"/>
      <c r="O63" s="249"/>
    </row>
    <row r="64" spans="1:65" ht="15" customHeight="1">
      <c r="B64" s="1065" t="s">
        <v>84</v>
      </c>
      <c r="C64" s="1069" t="s">
        <v>322</v>
      </c>
      <c r="D64" s="1070"/>
      <c r="E64" s="1070"/>
      <c r="F64" s="1070"/>
      <c r="G64" s="1070"/>
      <c r="H64" s="1071" t="s">
        <v>323</v>
      </c>
      <c r="I64" s="1070"/>
      <c r="J64" s="1072"/>
      <c r="K64" s="63"/>
    </row>
    <row r="65" spans="1:15" s="250" customFormat="1">
      <c r="B65" s="1066"/>
      <c r="C65" s="251"/>
      <c r="D65" s="252" t="s">
        <v>324</v>
      </c>
      <c r="E65" s="253" t="s">
        <v>325</v>
      </c>
      <c r="F65" s="252" t="s">
        <v>326</v>
      </c>
      <c r="G65" s="254" t="s">
        <v>327</v>
      </c>
      <c r="H65" s="255" t="s">
        <v>324</v>
      </c>
      <c r="I65" s="253" t="s">
        <v>325</v>
      </c>
      <c r="J65" s="252" t="s">
        <v>326</v>
      </c>
      <c r="K65" s="256"/>
      <c r="N65" s="256"/>
      <c r="O65" s="256"/>
    </row>
    <row r="66" spans="1:15" ht="12" customHeight="1">
      <c r="B66" s="1067"/>
      <c r="C66" s="257" t="s">
        <v>328</v>
      </c>
      <c r="D66" s="258"/>
      <c r="E66" s="259"/>
      <c r="F66" s="258"/>
      <c r="G66" s="259">
        <v>200</v>
      </c>
      <c r="H66" s="260">
        <v>511.26</v>
      </c>
      <c r="I66" s="259"/>
      <c r="J66" s="258"/>
      <c r="K66" s="63"/>
    </row>
    <row r="67" spans="1:15" ht="12" customHeight="1" thickBot="1">
      <c r="A67" s="261">
        <v>0</v>
      </c>
      <c r="B67" s="1067"/>
      <c r="C67" s="262" t="s">
        <v>329</v>
      </c>
      <c r="D67" s="263"/>
      <c r="E67" s="264"/>
      <c r="F67" s="265"/>
      <c r="G67" s="264">
        <v>100</v>
      </c>
      <c r="H67" s="266"/>
      <c r="I67" s="264">
        <v>674.7</v>
      </c>
      <c r="J67" s="265">
        <f>D4*A67</f>
        <v>0</v>
      </c>
      <c r="K67" s="63"/>
    </row>
    <row r="68" spans="1:15" s="267" customFormat="1" ht="12.75" customHeight="1" thickTop="1" thickBot="1">
      <c r="B68" s="1066"/>
      <c r="C68" s="268" t="s">
        <v>330</v>
      </c>
      <c r="D68" s="269">
        <f t="shared" ref="D68:J68" si="8">SUM(D66:D67)</f>
        <v>0</v>
      </c>
      <c r="E68" s="270">
        <f t="shared" si="8"/>
        <v>0</v>
      </c>
      <c r="F68" s="270">
        <f t="shared" si="8"/>
        <v>0</v>
      </c>
      <c r="G68" s="271">
        <f t="shared" si="8"/>
        <v>300</v>
      </c>
      <c r="H68" s="272">
        <f t="shared" si="8"/>
        <v>511.26</v>
      </c>
      <c r="I68" s="271">
        <f t="shared" si="8"/>
        <v>674.7</v>
      </c>
      <c r="J68" s="273">
        <f t="shared" si="8"/>
        <v>0</v>
      </c>
    </row>
    <row r="69" spans="1:15" s="267" customFormat="1" ht="12.75" customHeight="1" thickTop="1">
      <c r="B69" s="1067"/>
      <c r="C69" s="274"/>
      <c r="D69" s="275"/>
      <c r="E69" s="275"/>
      <c r="F69" s="275"/>
      <c r="G69" s="275"/>
      <c r="H69" s="275"/>
      <c r="I69" s="275"/>
      <c r="J69" s="275"/>
    </row>
    <row r="70" spans="1:15" s="68" customFormat="1" ht="18" customHeight="1">
      <c r="B70" s="1068"/>
      <c r="C70" s="276" t="s">
        <v>331</v>
      </c>
      <c r="D70" s="277" t="s">
        <v>332</v>
      </c>
      <c r="E70" s="277" t="s">
        <v>333</v>
      </c>
      <c r="F70" s="277" t="s">
        <v>334</v>
      </c>
      <c r="G70" s="278" t="s">
        <v>335</v>
      </c>
      <c r="H70" s="277" t="s">
        <v>41</v>
      </c>
      <c r="I70" s="279" t="s">
        <v>79</v>
      </c>
      <c r="J70" s="279" t="s">
        <v>80</v>
      </c>
    </row>
    <row r="71" spans="1:15" s="68" customFormat="1" ht="12.75" customHeight="1">
      <c r="B71" s="280" t="s">
        <v>22</v>
      </c>
      <c r="C71" s="1073" t="s">
        <v>336</v>
      </c>
      <c r="D71" s="1074"/>
      <c r="E71" s="1075"/>
      <c r="F71" s="1"/>
      <c r="G71" s="281"/>
      <c r="H71" s="2">
        <f>F71</f>
        <v>0</v>
      </c>
      <c r="I71" s="282">
        <f>H71/$J$5</f>
        <v>0</v>
      </c>
      <c r="J71" s="282">
        <f>H71/$D$6</f>
        <v>0</v>
      </c>
    </row>
    <row r="72" spans="1:15" s="68" customFormat="1" ht="12.75" customHeight="1">
      <c r="B72" s="283" t="s">
        <v>22</v>
      </c>
      <c r="C72" s="284" t="s">
        <v>337</v>
      </c>
      <c r="D72" s="3"/>
      <c r="E72" s="285">
        <v>48</v>
      </c>
      <c r="F72" s="52"/>
      <c r="G72" s="286"/>
      <c r="H72" s="287">
        <f>(D72*E72)*F72</f>
        <v>0</v>
      </c>
      <c r="I72" s="2">
        <f>H72/$J$5</f>
        <v>0</v>
      </c>
      <c r="J72" s="288">
        <f>H72/$D$6</f>
        <v>0</v>
      </c>
    </row>
    <row r="73" spans="1:15" s="267" customFormat="1" ht="12">
      <c r="B73" s="289" t="s">
        <v>322</v>
      </c>
      <c r="C73" s="290"/>
      <c r="D73" s="290"/>
      <c r="E73" s="290"/>
      <c r="F73" s="291"/>
      <c r="G73" s="292"/>
      <c r="H73" s="293"/>
      <c r="I73" s="294"/>
      <c r="J73" s="295"/>
    </row>
    <row r="74" spans="1:15" s="68" customFormat="1" ht="12.75" customHeight="1">
      <c r="B74" s="114" t="s">
        <v>22</v>
      </c>
      <c r="C74" s="284" t="s">
        <v>338</v>
      </c>
      <c r="D74" s="296" t="s">
        <v>339</v>
      </c>
      <c r="E74" s="297">
        <f>SUM(D66,E66,F66,G66,D67)</f>
        <v>200</v>
      </c>
      <c r="F74" s="52"/>
      <c r="G74" s="298" t="s">
        <v>340</v>
      </c>
      <c r="H74" s="2">
        <f>(E74*F74)/1.609</f>
        <v>0</v>
      </c>
      <c r="I74" s="2">
        <f t="shared" ref="I74:I79" si="9">H74/$J$5</f>
        <v>0</v>
      </c>
      <c r="J74" s="288">
        <f t="shared" ref="J74:J79" si="10">H74/$D$6</f>
        <v>0</v>
      </c>
    </row>
    <row r="75" spans="1:15" s="68" customFormat="1" ht="12.75" customHeight="1">
      <c r="B75" s="114" t="s">
        <v>22</v>
      </c>
      <c r="C75" s="284" t="s">
        <v>338</v>
      </c>
      <c r="D75" s="296" t="s">
        <v>341</v>
      </c>
      <c r="E75" s="299">
        <f>SUM(E67,F67,G67)</f>
        <v>100</v>
      </c>
      <c r="F75" s="52"/>
      <c r="G75" s="300" t="s">
        <v>340</v>
      </c>
      <c r="H75" s="2">
        <f>(E75*F75)/1.609</f>
        <v>0</v>
      </c>
      <c r="I75" s="2">
        <f t="shared" si="9"/>
        <v>0</v>
      </c>
      <c r="J75" s="288">
        <f t="shared" si="10"/>
        <v>0</v>
      </c>
    </row>
    <row r="76" spans="1:15" s="68" customFormat="1" ht="12.75" customHeight="1">
      <c r="B76" s="114" t="s">
        <v>22</v>
      </c>
      <c r="C76" s="1076" t="s">
        <v>342</v>
      </c>
      <c r="D76" s="1077"/>
      <c r="E76" s="301">
        <v>400</v>
      </c>
      <c r="F76" s="52"/>
      <c r="G76" s="300" t="s">
        <v>340</v>
      </c>
      <c r="H76" s="2">
        <f>(E76*F76)/1.609</f>
        <v>0</v>
      </c>
      <c r="I76" s="2">
        <f t="shared" si="9"/>
        <v>0</v>
      </c>
      <c r="J76" s="288">
        <f t="shared" si="10"/>
        <v>0</v>
      </c>
    </row>
    <row r="77" spans="1:15" s="302" customFormat="1" ht="12.75" customHeight="1">
      <c r="B77" s="114" t="s">
        <v>22</v>
      </c>
      <c r="C77" s="1076" t="s">
        <v>343</v>
      </c>
      <c r="D77" s="1077"/>
      <c r="E77" s="301">
        <v>900</v>
      </c>
      <c r="F77" s="52"/>
      <c r="G77" s="303" t="s">
        <v>340</v>
      </c>
      <c r="H77" s="2">
        <f>(E77*F77)/1.609</f>
        <v>0</v>
      </c>
      <c r="I77" s="2">
        <f t="shared" si="9"/>
        <v>0</v>
      </c>
      <c r="J77" s="288">
        <f t="shared" si="10"/>
        <v>0</v>
      </c>
    </row>
    <row r="78" spans="1:15" s="302" customFormat="1" ht="12.75" customHeight="1">
      <c r="B78" s="114" t="s">
        <v>22</v>
      </c>
      <c r="C78" s="1076" t="s">
        <v>344</v>
      </c>
      <c r="D78" s="1077"/>
      <c r="E78" s="301"/>
      <c r="F78" s="52"/>
      <c r="G78" s="304" t="s">
        <v>345</v>
      </c>
      <c r="H78" s="2">
        <f>(E78*F78)</f>
        <v>0</v>
      </c>
      <c r="I78" s="2">
        <f t="shared" si="9"/>
        <v>0</v>
      </c>
      <c r="J78" s="288">
        <f t="shared" si="10"/>
        <v>0</v>
      </c>
    </row>
    <row r="79" spans="1:15" s="68" customFormat="1" ht="12.75" customHeight="1">
      <c r="B79" s="114" t="s">
        <v>22</v>
      </c>
      <c r="C79" s="1109" t="s">
        <v>346</v>
      </c>
      <c r="D79" s="1110"/>
      <c r="E79" s="1111"/>
      <c r="F79" s="52"/>
      <c r="G79" s="286"/>
      <c r="H79" s="2">
        <f>F79</f>
        <v>0</v>
      </c>
      <c r="I79" s="2">
        <f t="shared" si="9"/>
        <v>0</v>
      </c>
      <c r="J79" s="288">
        <f t="shared" si="10"/>
        <v>0</v>
      </c>
    </row>
    <row r="80" spans="1:15" s="267" customFormat="1" ht="12">
      <c r="B80" s="289" t="s">
        <v>323</v>
      </c>
      <c r="C80" s="290"/>
      <c r="D80" s="290"/>
      <c r="E80" s="290"/>
      <c r="F80" s="291"/>
      <c r="G80" s="292"/>
      <c r="H80" s="293"/>
      <c r="I80" s="294"/>
      <c r="J80" s="295"/>
    </row>
    <row r="81" spans="2:15" s="68" customFormat="1" ht="12.75" customHeight="1">
      <c r="B81" s="114" t="s">
        <v>22</v>
      </c>
      <c r="C81" s="284" t="s">
        <v>347</v>
      </c>
      <c r="D81" s="305">
        <f>(E81*G81)*0.1</f>
        <v>204.50400000000002</v>
      </c>
      <c r="E81" s="306">
        <f>H68</f>
        <v>511.26</v>
      </c>
      <c r="F81" s="1"/>
      <c r="G81" s="307">
        <v>4</v>
      </c>
      <c r="H81" s="2">
        <f>(D81*F81)</f>
        <v>0</v>
      </c>
      <c r="I81" s="2">
        <f>H81/$J$5</f>
        <v>0</v>
      </c>
      <c r="J81" s="288">
        <f>H81/$D$6</f>
        <v>0</v>
      </c>
    </row>
    <row r="82" spans="2:15" s="68" customFormat="1" ht="12.75" customHeight="1">
      <c r="B82" s="114" t="s">
        <v>22</v>
      </c>
      <c r="C82" s="284" t="s">
        <v>348</v>
      </c>
      <c r="D82" s="305">
        <f>(E82*G82)*0.1</f>
        <v>118.07250000000002</v>
      </c>
      <c r="E82" s="306">
        <f>I68</f>
        <v>674.7</v>
      </c>
      <c r="F82" s="1"/>
      <c r="G82" s="307">
        <v>1.75</v>
      </c>
      <c r="H82" s="2">
        <f>(D82*F82)</f>
        <v>0</v>
      </c>
      <c r="I82" s="2">
        <f>H82/$J$5</f>
        <v>0</v>
      </c>
      <c r="J82" s="288">
        <f>H82/$D$6</f>
        <v>0</v>
      </c>
    </row>
    <row r="83" spans="2:15" s="302" customFormat="1" ht="12.75" customHeight="1">
      <c r="B83" s="114" t="s">
        <v>22</v>
      </c>
      <c r="C83" s="308" t="s">
        <v>349</v>
      </c>
      <c r="D83" s="305">
        <f>(G83*900)/10000</f>
        <v>13.34205</v>
      </c>
      <c r="E83" s="306">
        <f>SUM(E81:E82)</f>
        <v>1185.96</v>
      </c>
      <c r="F83" s="1"/>
      <c r="G83" s="309">
        <f>E83/8</f>
        <v>148.245</v>
      </c>
      <c r="H83" s="2">
        <f>(D83*F83)</f>
        <v>0</v>
      </c>
      <c r="I83" s="2">
        <f>H83/$J$5</f>
        <v>0</v>
      </c>
      <c r="J83" s="288">
        <f>H83/$D$6</f>
        <v>0</v>
      </c>
    </row>
    <row r="84" spans="2:15" s="302" customFormat="1" ht="12.75" customHeight="1">
      <c r="B84" s="114" t="s">
        <v>22</v>
      </c>
      <c r="C84" s="308" t="s">
        <v>350</v>
      </c>
      <c r="D84" s="310"/>
      <c r="E84" s="301"/>
      <c r="F84" s="1"/>
      <c r="G84" s="309"/>
      <c r="H84" s="2">
        <f>(E84*F84)</f>
        <v>0</v>
      </c>
      <c r="I84" s="2">
        <f>H84/$J$5</f>
        <v>0</v>
      </c>
      <c r="J84" s="288">
        <f>H84/$D$6</f>
        <v>0</v>
      </c>
    </row>
    <row r="85" spans="2:15" s="68" customFormat="1" ht="12.75" customHeight="1">
      <c r="B85" s="280" t="s">
        <v>22</v>
      </c>
      <c r="C85" s="308" t="s">
        <v>351</v>
      </c>
      <c r="D85" s="310"/>
      <c r="E85" s="301"/>
      <c r="F85" s="1"/>
      <c r="G85" s="309"/>
      <c r="H85" s="2">
        <f>(E85*F85)</f>
        <v>0</v>
      </c>
      <c r="I85" s="2">
        <f>H85/$J$5</f>
        <v>0</v>
      </c>
      <c r="J85" s="288">
        <f>H85/$D$6</f>
        <v>0</v>
      </c>
    </row>
    <row r="86" spans="2:15" ht="18" customHeight="1">
      <c r="B86" s="1112" t="s">
        <v>84</v>
      </c>
      <c r="C86" s="130"/>
      <c r="D86" s="227"/>
      <c r="E86" s="227"/>
      <c r="F86" s="311"/>
      <c r="G86" s="227"/>
      <c r="H86" s="312">
        <f>SUM(H71:H85)</f>
        <v>0</v>
      </c>
      <c r="I86" s="312">
        <f>SUM(I71:I85)</f>
        <v>0</v>
      </c>
      <c r="J86" s="312">
        <f>SUM(J71:J85)</f>
        <v>0</v>
      </c>
      <c r="K86" s="63"/>
    </row>
    <row r="87" spans="2:15" ht="3" customHeight="1">
      <c r="B87" s="1112"/>
      <c r="C87" s="130"/>
      <c r="K87" s="63"/>
    </row>
    <row r="88" spans="2:15" s="68" customFormat="1" ht="18" customHeight="1">
      <c r="B88" s="1113"/>
      <c r="C88" s="313" t="s">
        <v>352</v>
      </c>
      <c r="D88" s="221" t="s">
        <v>353</v>
      </c>
      <c r="E88" s="221" t="s">
        <v>333</v>
      </c>
      <c r="F88" s="221" t="s">
        <v>334</v>
      </c>
      <c r="G88" s="221" t="s">
        <v>335</v>
      </c>
      <c r="H88" s="221" t="s">
        <v>41</v>
      </c>
      <c r="I88" s="314" t="s">
        <v>79</v>
      </c>
      <c r="J88" s="314" t="s">
        <v>80</v>
      </c>
    </row>
    <row r="89" spans="2:15" s="68" customFormat="1" ht="12.75" customHeight="1">
      <c r="B89" s="114" t="s">
        <v>22</v>
      </c>
      <c r="C89" s="315" t="s">
        <v>354</v>
      </c>
      <c r="D89" s="316"/>
      <c r="E89" s="317">
        <f>J68</f>
        <v>0</v>
      </c>
      <c r="F89" s="1"/>
      <c r="G89" s="318">
        <v>4</v>
      </c>
      <c r="H89" s="2">
        <f>E89*F89</f>
        <v>0</v>
      </c>
      <c r="I89" s="5">
        <f>H89/$J$7</f>
        <v>0</v>
      </c>
      <c r="J89" s="5">
        <f>H89/$D$6</f>
        <v>0</v>
      </c>
    </row>
    <row r="90" spans="2:15" s="68" customFormat="1" ht="12.75" customHeight="1">
      <c r="B90" s="114" t="s">
        <v>22</v>
      </c>
      <c r="C90" s="315" t="s">
        <v>355</v>
      </c>
      <c r="D90" s="207">
        <f>D89</f>
        <v>0</v>
      </c>
      <c r="E90" s="317">
        <f>H68</f>
        <v>511.26</v>
      </c>
      <c r="F90" s="1"/>
      <c r="G90" s="318">
        <v>1.75</v>
      </c>
      <c r="H90" s="2">
        <f>E90*F90</f>
        <v>0</v>
      </c>
      <c r="I90" s="5">
        <f>H90/$J$7</f>
        <v>0</v>
      </c>
      <c r="J90" s="5">
        <f>H90/$D$6</f>
        <v>0</v>
      </c>
    </row>
    <row r="91" spans="2:15" s="68" customFormat="1" ht="12.75" customHeight="1">
      <c r="B91" s="114" t="s">
        <v>22</v>
      </c>
      <c r="C91" s="315" t="s">
        <v>356</v>
      </c>
      <c r="D91" s="3"/>
      <c r="E91" s="285"/>
      <c r="F91" s="1"/>
      <c r="G91" s="319"/>
      <c r="H91" s="2">
        <f>((E91*F91)*D91)</f>
        <v>0</v>
      </c>
      <c r="I91" s="6">
        <f>H91/$J$7</f>
        <v>0</v>
      </c>
      <c r="J91" s="5">
        <f>H91/$D$6</f>
        <v>0</v>
      </c>
    </row>
    <row r="92" spans="2:15" s="302" customFormat="1" ht="12.75" customHeight="1">
      <c r="B92" s="114" t="s">
        <v>22</v>
      </c>
      <c r="C92" s="320" t="s">
        <v>357</v>
      </c>
      <c r="D92" s="3"/>
      <c r="E92" s="285"/>
      <c r="F92" s="1"/>
      <c r="G92" s="319"/>
      <c r="H92" s="2">
        <f>((E92*F92)*D92)</f>
        <v>0</v>
      </c>
      <c r="I92" s="6">
        <f>H92/$J$7</f>
        <v>0</v>
      </c>
      <c r="J92" s="5">
        <f>H92/$D$6</f>
        <v>0</v>
      </c>
    </row>
    <row r="93" spans="2:15" s="327" customFormat="1" ht="14.25" customHeight="1">
      <c r="B93" s="321" t="s">
        <v>22</v>
      </c>
      <c r="C93" s="1114" t="s">
        <v>358</v>
      </c>
      <c r="D93" s="1115"/>
      <c r="E93" s="1116"/>
      <c r="F93" s="322"/>
      <c r="G93" s="323" t="s">
        <v>359</v>
      </c>
      <c r="H93" s="5">
        <f>(D6*F93)</f>
        <v>0</v>
      </c>
      <c r="I93" s="324">
        <f>H93/$J$7</f>
        <v>0</v>
      </c>
      <c r="J93" s="325">
        <f>H93/$D$6</f>
        <v>0</v>
      </c>
      <c r="K93" s="326"/>
      <c r="N93" s="326"/>
      <c r="O93" s="326"/>
    </row>
    <row r="94" spans="2:15" ht="15" customHeight="1">
      <c r="B94" s="1117" t="s">
        <v>84</v>
      </c>
      <c r="E94" s="227"/>
      <c r="F94" s="311"/>
      <c r="G94" s="329"/>
      <c r="H94" s="312">
        <f>SUM(H89:H93)</f>
        <v>0</v>
      </c>
      <c r="I94" s="312">
        <f>SUM(I89:I93)</f>
        <v>0</v>
      </c>
      <c r="J94" s="312">
        <f>SUM(J89:J93)</f>
        <v>0</v>
      </c>
      <c r="K94" s="63"/>
    </row>
    <row r="95" spans="2:15" ht="3" customHeight="1">
      <c r="B95" s="1112"/>
      <c r="C95" s="130"/>
      <c r="K95" s="63"/>
    </row>
    <row r="96" spans="2:15" s="68" customFormat="1" ht="18" customHeight="1">
      <c r="B96" s="1113"/>
      <c r="C96" s="330" t="s">
        <v>360</v>
      </c>
      <c r="D96" s="221" t="s">
        <v>361</v>
      </c>
      <c r="E96" s="221" t="s">
        <v>40</v>
      </c>
      <c r="F96" s="221" t="s">
        <v>334</v>
      </c>
      <c r="G96" s="221" t="s">
        <v>335</v>
      </c>
      <c r="H96" s="221" t="s">
        <v>41</v>
      </c>
      <c r="I96" s="314" t="s">
        <v>79</v>
      </c>
      <c r="J96" s="314" t="s">
        <v>80</v>
      </c>
    </row>
    <row r="97" spans="2:19" s="302" customFormat="1" ht="13.5" customHeight="1">
      <c r="B97" s="321" t="s">
        <v>22</v>
      </c>
      <c r="C97" s="315" t="s">
        <v>362</v>
      </c>
      <c r="D97" s="3"/>
      <c r="E97" s="331" t="s">
        <v>363</v>
      </c>
      <c r="F97" s="1">
        <v>250</v>
      </c>
      <c r="G97" s="318">
        <v>0</v>
      </c>
      <c r="H97" s="2">
        <f>$D$6*F97</f>
        <v>8175.0000000000009</v>
      </c>
      <c r="I97" s="5">
        <f t="shared" ref="I97:I102" si="11">H97/$J$7</f>
        <v>15.843023255813955</v>
      </c>
      <c r="J97" s="5">
        <f t="shared" ref="J97:J102" si="12">H97/$D$6</f>
        <v>250</v>
      </c>
    </row>
    <row r="98" spans="2:19" s="302" customFormat="1" ht="12.75" customHeight="1">
      <c r="B98" s="321" t="s">
        <v>22</v>
      </c>
      <c r="C98" s="315" t="s">
        <v>357</v>
      </c>
      <c r="D98" s="3"/>
      <c r="E98" s="285"/>
      <c r="F98" s="1"/>
      <c r="G98" s="318">
        <v>0</v>
      </c>
      <c r="H98" s="2">
        <f>((E98*F98)*D98)</f>
        <v>0</v>
      </c>
      <c r="I98" s="5">
        <f t="shared" si="11"/>
        <v>0</v>
      </c>
      <c r="J98" s="5">
        <f t="shared" si="12"/>
        <v>0</v>
      </c>
    </row>
    <row r="99" spans="2:19" s="302" customFormat="1" ht="12.75" customHeight="1">
      <c r="B99" s="321" t="s">
        <v>22</v>
      </c>
      <c r="C99" s="315" t="s">
        <v>364</v>
      </c>
      <c r="D99" s="3"/>
      <c r="E99" s="285"/>
      <c r="F99" s="1">
        <v>1200</v>
      </c>
      <c r="G99" s="286"/>
      <c r="H99" s="2">
        <f>((E99*F99)*D99)</f>
        <v>0</v>
      </c>
      <c r="I99" s="5">
        <f t="shared" si="11"/>
        <v>0</v>
      </c>
      <c r="J99" s="5">
        <f t="shared" si="12"/>
        <v>0</v>
      </c>
    </row>
    <row r="100" spans="2:19" s="302" customFormat="1" ht="12.75" customHeight="1">
      <c r="B100" s="321" t="s">
        <v>22</v>
      </c>
      <c r="C100" s="320" t="s">
        <v>365</v>
      </c>
      <c r="D100" s="3">
        <v>1</v>
      </c>
      <c r="E100" s="285"/>
      <c r="F100" s="1">
        <v>1200</v>
      </c>
      <c r="G100" s="286"/>
      <c r="H100" s="2">
        <f>((E100*F100)*D100)</f>
        <v>0</v>
      </c>
      <c r="I100" s="5">
        <f t="shared" si="11"/>
        <v>0</v>
      </c>
      <c r="J100" s="5">
        <f t="shared" si="12"/>
        <v>0</v>
      </c>
    </row>
    <row r="101" spans="2:19" s="302" customFormat="1" ht="12.75" customHeight="1">
      <c r="B101" s="321" t="s">
        <v>22</v>
      </c>
      <c r="C101" s="315" t="s">
        <v>366</v>
      </c>
      <c r="D101" s="3">
        <v>3</v>
      </c>
      <c r="E101" s="285"/>
      <c r="F101" s="1">
        <v>1000</v>
      </c>
      <c r="G101" s="286"/>
      <c r="H101" s="2">
        <f>((E101*F101)*D101)</f>
        <v>0</v>
      </c>
      <c r="I101" s="5">
        <f t="shared" si="11"/>
        <v>0</v>
      </c>
      <c r="J101" s="5">
        <f t="shared" si="12"/>
        <v>0</v>
      </c>
    </row>
    <row r="102" spans="2:19" s="302" customFormat="1" ht="12.75" customHeight="1">
      <c r="B102" s="321" t="s">
        <v>22</v>
      </c>
      <c r="C102" s="320" t="s">
        <v>367</v>
      </c>
      <c r="D102" s="3">
        <v>1</v>
      </c>
      <c r="E102" s="285"/>
      <c r="F102" s="1">
        <v>1200</v>
      </c>
      <c r="G102" s="319"/>
      <c r="H102" s="2">
        <f>((E102*F102)*D102)</f>
        <v>0</v>
      </c>
      <c r="I102" s="5">
        <f t="shared" si="11"/>
        <v>0</v>
      </c>
      <c r="J102" s="5">
        <f t="shared" si="12"/>
        <v>0</v>
      </c>
    </row>
    <row r="103" spans="2:19" ht="15" customHeight="1">
      <c r="B103" s="1096" t="s">
        <v>84</v>
      </c>
      <c r="C103" s="130"/>
      <c r="D103" s="227"/>
      <c r="E103" s="227"/>
      <c r="F103" s="311"/>
      <c r="G103" s="329"/>
      <c r="H103" s="312">
        <f>SUM(H97:H102)</f>
        <v>8175.0000000000009</v>
      </c>
      <c r="I103" s="312">
        <f>SUM(I97:I102)</f>
        <v>15.843023255813955</v>
      </c>
      <c r="J103" s="312">
        <f>SUM(J97:J102)</f>
        <v>250</v>
      </c>
      <c r="K103" s="63"/>
    </row>
    <row r="104" spans="2:19" ht="5.25" customHeight="1">
      <c r="B104" s="1096"/>
      <c r="C104" s="130"/>
      <c r="K104" s="63"/>
    </row>
    <row r="105" spans="2:19" s="68" customFormat="1" ht="18" customHeight="1">
      <c r="B105" s="1096"/>
      <c r="C105" s="330" t="s">
        <v>368</v>
      </c>
      <c r="D105" s="332" t="s">
        <v>369</v>
      </c>
      <c r="E105" s="221" t="s">
        <v>40</v>
      </c>
      <c r="F105" s="221" t="s">
        <v>83</v>
      </c>
      <c r="H105" s="221" t="s">
        <v>41</v>
      </c>
      <c r="I105" s="314" t="s">
        <v>79</v>
      </c>
      <c r="J105" s="314" t="s">
        <v>80</v>
      </c>
      <c r="M105" s="138"/>
      <c r="P105" s="138"/>
      <c r="Q105" s="138"/>
      <c r="R105" s="138"/>
      <c r="S105" s="138"/>
    </row>
    <row r="106" spans="2:19" s="68" customFormat="1" ht="12.75" customHeight="1">
      <c r="B106" s="114" t="s">
        <v>22</v>
      </c>
      <c r="C106" s="333" t="s">
        <v>370</v>
      </c>
      <c r="D106" s="3">
        <v>1</v>
      </c>
      <c r="E106" s="285"/>
      <c r="F106" s="1">
        <v>1200</v>
      </c>
      <c r="H106" s="334">
        <f>D106*E106*F106</f>
        <v>0</v>
      </c>
      <c r="I106" s="335">
        <f>H106/$J$7</f>
        <v>0</v>
      </c>
      <c r="J106" s="6">
        <f>H106/$D$6</f>
        <v>0</v>
      </c>
      <c r="L106" s="138"/>
    </row>
    <row r="107" spans="2:19" s="68" customFormat="1" ht="12.75" customHeight="1">
      <c r="B107" s="114" t="s">
        <v>22</v>
      </c>
      <c r="C107" s="333" t="s">
        <v>371</v>
      </c>
      <c r="D107" s="3">
        <v>1</v>
      </c>
      <c r="E107" s="285"/>
      <c r="F107" s="1">
        <v>850</v>
      </c>
      <c r="H107" s="334">
        <f>D107*E107*F107</f>
        <v>0</v>
      </c>
      <c r="I107" s="335">
        <f>H107/$J$7</f>
        <v>0</v>
      </c>
      <c r="J107" s="6">
        <f>H107/$D$6</f>
        <v>0</v>
      </c>
    </row>
    <row r="108" spans="2:19" s="68" customFormat="1" ht="12.75" customHeight="1">
      <c r="B108" s="114" t="s">
        <v>22</v>
      </c>
      <c r="C108" s="333" t="s">
        <v>372</v>
      </c>
      <c r="D108" s="3">
        <v>2</v>
      </c>
      <c r="E108" s="285"/>
      <c r="F108" s="1">
        <v>950</v>
      </c>
      <c r="H108" s="334">
        <f>D108*E108*F108</f>
        <v>0</v>
      </c>
      <c r="I108" s="335">
        <f>H108/$J$7</f>
        <v>0</v>
      </c>
      <c r="J108" s="6">
        <f>H108/$D$6</f>
        <v>0</v>
      </c>
    </row>
    <row r="109" spans="2:19" s="68" customFormat="1" ht="12.75" customHeight="1">
      <c r="B109" s="114" t="s">
        <v>22</v>
      </c>
      <c r="C109" s="333" t="s">
        <v>373</v>
      </c>
      <c r="D109" s="3">
        <v>1</v>
      </c>
      <c r="E109" s="285"/>
      <c r="F109" s="1">
        <v>1000</v>
      </c>
      <c r="H109" s="334">
        <f>D109*E109*F109</f>
        <v>0</v>
      </c>
      <c r="I109" s="335">
        <f>H109/$J$7</f>
        <v>0</v>
      </c>
      <c r="J109" s="6">
        <f>H109/$D$6</f>
        <v>0</v>
      </c>
    </row>
    <row r="110" spans="2:19" s="68" customFormat="1" ht="12.75" customHeight="1">
      <c r="B110" s="114" t="s">
        <v>22</v>
      </c>
      <c r="C110" s="333" t="s">
        <v>374</v>
      </c>
      <c r="D110" s="3">
        <v>2</v>
      </c>
      <c r="E110" s="285"/>
      <c r="F110" s="1">
        <v>900</v>
      </c>
      <c r="H110" s="334">
        <f>D110*E110*F110</f>
        <v>0</v>
      </c>
      <c r="I110" s="335">
        <f>H110/$J$7</f>
        <v>0</v>
      </c>
      <c r="J110" s="6">
        <f>H110/$D$6</f>
        <v>0</v>
      </c>
    </row>
    <row r="111" spans="2:19" ht="15" customHeight="1">
      <c r="B111" s="1096" t="s">
        <v>84</v>
      </c>
      <c r="C111" s="130"/>
      <c r="D111" s="227"/>
      <c r="E111" s="227"/>
      <c r="F111" s="311"/>
      <c r="G111" s="329"/>
      <c r="H111" s="312">
        <f>SUM(H106:H110)</f>
        <v>0</v>
      </c>
      <c r="I111" s="312">
        <f>SUM(I106:I110)</f>
        <v>0</v>
      </c>
      <c r="J111" s="312">
        <f>SUM(J106:J110)</f>
        <v>0</v>
      </c>
      <c r="K111" s="63"/>
    </row>
    <row r="112" spans="2:19" ht="3" customHeight="1">
      <c r="B112" s="1096"/>
      <c r="C112" s="130"/>
      <c r="D112" s="227"/>
      <c r="E112" s="227"/>
      <c r="F112" s="311"/>
      <c r="G112" s="336"/>
      <c r="H112" s="337"/>
      <c r="I112" s="337"/>
      <c r="J112" s="337"/>
      <c r="K112" s="63"/>
    </row>
    <row r="113" spans="1:20" s="68" customFormat="1" ht="18" customHeight="1">
      <c r="B113" s="1096"/>
      <c r="C113" s="313" t="s">
        <v>375</v>
      </c>
      <c r="D113" s="338" t="s">
        <v>376</v>
      </c>
      <c r="E113" s="338" t="s">
        <v>377</v>
      </c>
      <c r="F113" s="221" t="s">
        <v>378</v>
      </c>
      <c r="G113" s="221" t="s">
        <v>379</v>
      </c>
      <c r="H113" s="221" t="s">
        <v>41</v>
      </c>
      <c r="I113" s="314" t="s">
        <v>79</v>
      </c>
      <c r="J113" s="314" t="s">
        <v>80</v>
      </c>
      <c r="K113" s="339"/>
      <c r="P113" s="339"/>
      <c r="Q113" s="339"/>
      <c r="R113" s="339"/>
      <c r="S113" s="339"/>
    </row>
    <row r="114" spans="1:20" s="68" customFormat="1" ht="12.75" customHeight="1">
      <c r="A114" s="340">
        <f>1-SUM(A115:A117)</f>
        <v>1</v>
      </c>
      <c r="B114" s="114" t="s">
        <v>22</v>
      </c>
      <c r="C114" s="333" t="s">
        <v>380</v>
      </c>
      <c r="D114" s="114">
        <f>$J$7-SUM(D115:D117)</f>
        <v>516</v>
      </c>
      <c r="E114" s="341"/>
      <c r="F114" s="342">
        <f>IF(D114=0,0,((D114*$J$8)*$D$8))</f>
        <v>4644</v>
      </c>
      <c r="G114" s="1">
        <v>2.65</v>
      </c>
      <c r="H114" s="2">
        <f>$F114*G114</f>
        <v>12306.6</v>
      </c>
      <c r="I114" s="6">
        <f>IF(D114=0,0,H114/D114)</f>
        <v>23.85</v>
      </c>
      <c r="J114" s="6">
        <f>H114/$D$5</f>
        <v>376.348623853211</v>
      </c>
      <c r="K114" s="155"/>
      <c r="P114" s="155"/>
      <c r="Q114" s="155"/>
      <c r="R114" s="155"/>
      <c r="S114" s="155"/>
    </row>
    <row r="115" spans="1:20" s="68" customFormat="1" ht="12.75" customHeight="1">
      <c r="A115" s="343"/>
      <c r="B115" s="114" t="s">
        <v>22</v>
      </c>
      <c r="C115" s="333" t="s">
        <v>381</v>
      </c>
      <c r="D115" s="114">
        <f>ROUND($J$7*A115,-0.1)</f>
        <v>0</v>
      </c>
      <c r="E115" s="341"/>
      <c r="F115" s="342">
        <f>(D115*$J$8)*$D$8</f>
        <v>0</v>
      </c>
      <c r="G115" s="1"/>
      <c r="H115" s="2">
        <f>$F115*G115</f>
        <v>0</v>
      </c>
      <c r="I115" s="6">
        <f>IF(D115=0,0,H115/D115)</f>
        <v>0</v>
      </c>
      <c r="J115" s="6">
        <f>H115/$D$5</f>
        <v>0</v>
      </c>
      <c r="K115" s="155"/>
      <c r="P115" s="155"/>
      <c r="Q115" s="155"/>
      <c r="R115" s="155"/>
      <c r="S115" s="155"/>
    </row>
    <row r="116" spans="1:20" s="68" customFormat="1" ht="12.75" customHeight="1">
      <c r="A116" s="343"/>
      <c r="B116" s="114" t="s">
        <v>22</v>
      </c>
      <c r="C116" s="333" t="s">
        <v>382</v>
      </c>
      <c r="D116" s="114">
        <f>ROUND($J$7*A116,-0.1)</f>
        <v>0</v>
      </c>
      <c r="E116" s="341"/>
      <c r="F116" s="342">
        <f>(D116*$J$8)*$D$8</f>
        <v>0</v>
      </c>
      <c r="G116" s="1">
        <v>14</v>
      </c>
      <c r="H116" s="2">
        <f>$F116*G116</f>
        <v>0</v>
      </c>
      <c r="I116" s="6">
        <f>IF(D116=0,0,H116/D116)</f>
        <v>0</v>
      </c>
      <c r="J116" s="6">
        <f>H116/$D$5</f>
        <v>0</v>
      </c>
      <c r="K116" s="155"/>
      <c r="P116" s="155"/>
      <c r="Q116" s="155"/>
      <c r="R116" s="155"/>
      <c r="S116" s="155"/>
    </row>
    <row r="117" spans="1:20" s="68" customFormat="1" ht="12.75" customHeight="1">
      <c r="A117" s="343"/>
      <c r="B117" s="114" t="s">
        <v>22</v>
      </c>
      <c r="C117" s="333" t="s">
        <v>383</v>
      </c>
      <c r="D117" s="114">
        <f>ROUND($J$7*A117,-0.1)</f>
        <v>0</v>
      </c>
      <c r="E117" s="341"/>
      <c r="F117" s="342">
        <f>(D117*$J$8)*$D$8</f>
        <v>0</v>
      </c>
      <c r="G117" s="1">
        <v>65</v>
      </c>
      <c r="H117" s="2">
        <f>$F117*G117</f>
        <v>0</v>
      </c>
      <c r="I117" s="6">
        <f>IF(D117=0,0,H117/D117)</f>
        <v>0</v>
      </c>
      <c r="J117" s="6">
        <f>H117/$D$5</f>
        <v>0</v>
      </c>
      <c r="K117" s="155"/>
      <c r="P117" s="155"/>
      <c r="Q117" s="155"/>
      <c r="R117" s="155"/>
      <c r="S117" s="155"/>
    </row>
    <row r="118" spans="1:20" s="68" customFormat="1" ht="12.75" customHeight="1">
      <c r="A118" s="344"/>
      <c r="B118" s="114" t="s">
        <v>22</v>
      </c>
      <c r="C118" s="333" t="s">
        <v>384</v>
      </c>
      <c r="D118" s="114">
        <f>SUM(D114:D117)</f>
        <v>516</v>
      </c>
      <c r="E118" s="345"/>
      <c r="F118" s="346">
        <v>40</v>
      </c>
      <c r="G118" s="347"/>
      <c r="H118" s="2">
        <f>$F118*G118</f>
        <v>0</v>
      </c>
      <c r="I118" s="6">
        <f>IF(D118=0,0,H118/D118)</f>
        <v>0</v>
      </c>
      <c r="J118" s="6">
        <f>H118/$D$5</f>
        <v>0</v>
      </c>
      <c r="K118" s="155"/>
      <c r="P118" s="155"/>
      <c r="Q118" s="155"/>
      <c r="R118" s="155"/>
      <c r="S118" s="155"/>
    </row>
    <row r="119" spans="1:20" s="267" customFormat="1" ht="12.75" customHeight="1" thickBot="1">
      <c r="B119" s="348"/>
      <c r="C119" s="348"/>
      <c r="D119" s="348"/>
      <c r="E119" s="349"/>
      <c r="F119" s="350"/>
      <c r="G119" s="351"/>
      <c r="H119" s="352">
        <f>SUM(H114:H118)</f>
        <v>12306.6</v>
      </c>
      <c r="I119" s="352">
        <f>SUM(I114:I117)</f>
        <v>23.85</v>
      </c>
      <c r="J119" s="352">
        <f>SUM(J114:J117)</f>
        <v>376.348623853211</v>
      </c>
    </row>
    <row r="120" spans="1:20" s="267" customFormat="1" ht="16.5" customHeight="1" thickTop="1">
      <c r="B120" s="348"/>
      <c r="C120" s="348"/>
      <c r="D120" s="348"/>
      <c r="E120" s="349"/>
      <c r="F120" s="350"/>
      <c r="G120" s="351"/>
      <c r="H120" s="353"/>
      <c r="I120" s="354"/>
      <c r="J120" s="354"/>
    </row>
    <row r="121" spans="1:20" s="267" customFormat="1" ht="15.75">
      <c r="B121" s="1097" t="s">
        <v>385</v>
      </c>
      <c r="C121" s="1098"/>
      <c r="D121" s="1098"/>
      <c r="E121" s="1098"/>
      <c r="F121" s="1098"/>
      <c r="G121" s="1098"/>
      <c r="H121" s="1099"/>
      <c r="I121" s="1098"/>
      <c r="J121" s="1098"/>
    </row>
    <row r="122" spans="1:20" s="68" customFormat="1" ht="12.75" customHeight="1">
      <c r="B122" s="283" t="s">
        <v>22</v>
      </c>
      <c r="C122" s="355" t="s">
        <v>386</v>
      </c>
      <c r="D122" s="194">
        <v>516</v>
      </c>
      <c r="E122" s="356">
        <v>0.25</v>
      </c>
      <c r="F122" s="357">
        <f>ROUNDUP(D122*E122,-1)</f>
        <v>130</v>
      </c>
      <c r="G122" s="52">
        <v>13</v>
      </c>
      <c r="H122" s="287">
        <f>F122*G122</f>
        <v>1690</v>
      </c>
      <c r="I122" s="358">
        <f>H122/$J$7</f>
        <v>3.2751937984496124</v>
      </c>
      <c r="J122" s="358">
        <f>H122/$D$5</f>
        <v>51.681957186544338</v>
      </c>
      <c r="K122" s="155"/>
      <c r="P122" s="155"/>
      <c r="Q122" s="155"/>
      <c r="R122" s="155"/>
      <c r="S122" s="155"/>
    </row>
    <row r="123" spans="1:20" s="68" customFormat="1" ht="12.75" customHeight="1">
      <c r="B123" s="114" t="s">
        <v>22</v>
      </c>
      <c r="C123" s="1100" t="s">
        <v>387</v>
      </c>
      <c r="D123" s="1101"/>
      <c r="E123" s="1101"/>
      <c r="F123" s="359">
        <v>1000</v>
      </c>
      <c r="G123" s="360"/>
      <c r="H123" s="2">
        <f>F123*G123</f>
        <v>0</v>
      </c>
      <c r="I123" s="6">
        <f>H123/$J$7</f>
        <v>0</v>
      </c>
      <c r="J123" s="6">
        <f>H123/$D$5</f>
        <v>0</v>
      </c>
      <c r="K123" s="155"/>
      <c r="P123" s="155"/>
      <c r="Q123" s="155"/>
      <c r="R123" s="155"/>
      <c r="S123" s="155"/>
    </row>
    <row r="124" spans="1:20" ht="15" customHeight="1">
      <c r="B124" s="361"/>
      <c r="C124" s="58"/>
      <c r="G124" s="362"/>
      <c r="H124" s="7">
        <f>SUM(H122:H123)</f>
        <v>1690</v>
      </c>
      <c r="I124" s="7">
        <f>SUM(I122:I123)</f>
        <v>3.2751937984496124</v>
      </c>
      <c r="J124" s="7">
        <f>SUM(J122:J123)</f>
        <v>51.681957186544338</v>
      </c>
      <c r="K124" s="227"/>
      <c r="M124" s="63"/>
      <c r="P124" s="227"/>
      <c r="Q124" s="227"/>
      <c r="R124" s="227"/>
      <c r="T124" s="363"/>
    </row>
    <row r="125" spans="1:20" s="231" customFormat="1" ht="9" customHeight="1">
      <c r="B125" s="361"/>
      <c r="G125" s="362"/>
      <c r="H125" s="337"/>
      <c r="I125" s="337"/>
      <c r="J125" s="337"/>
      <c r="K125" s="364"/>
      <c r="M125" s="237"/>
      <c r="N125" s="237"/>
      <c r="O125" s="237"/>
      <c r="P125" s="364"/>
      <c r="Q125" s="364"/>
      <c r="R125" s="364"/>
      <c r="T125" s="365"/>
    </row>
    <row r="126" spans="1:20" s="68" customFormat="1" ht="18" customHeight="1">
      <c r="B126" s="366"/>
      <c r="C126" s="1102" t="s">
        <v>388</v>
      </c>
      <c r="D126" s="1103"/>
      <c r="E126" s="1103"/>
      <c r="F126" s="1103"/>
      <c r="G126" s="1104"/>
      <c r="H126" s="367" t="s">
        <v>41</v>
      </c>
      <c r="I126" s="314" t="s">
        <v>79</v>
      </c>
      <c r="J126" s="314" t="s">
        <v>80</v>
      </c>
      <c r="K126" s="339"/>
      <c r="P126" s="339"/>
      <c r="Q126" s="339"/>
      <c r="R126" s="339"/>
      <c r="S126" s="339"/>
    </row>
    <row r="127" spans="1:20" ht="18.75" customHeight="1">
      <c r="B127" s="283" t="s">
        <v>22</v>
      </c>
      <c r="C127" s="1105"/>
      <c r="D127" s="1106"/>
      <c r="E127" s="1106"/>
      <c r="F127" s="1106"/>
      <c r="G127" s="1107"/>
      <c r="H127" s="368">
        <f>IF(E212=0,E237,E212)</f>
        <v>15419.432094</v>
      </c>
      <c r="I127" s="369">
        <f>H127/J7</f>
        <v>29.882620337209303</v>
      </c>
      <c r="J127" s="369">
        <f>H127/D5</f>
        <v>471.54226587155961</v>
      </c>
      <c r="K127" s="227"/>
      <c r="M127" s="63"/>
      <c r="P127" s="227"/>
      <c r="Q127" s="227"/>
      <c r="R127" s="227"/>
      <c r="S127" s="155"/>
      <c r="T127" s="363"/>
    </row>
    <row r="128" spans="1:20" s="227" customFormat="1" ht="12" customHeight="1">
      <c r="B128" s="370"/>
      <c r="C128" s="371"/>
      <c r="D128" s="372"/>
      <c r="E128" s="373"/>
      <c r="F128" s="37"/>
      <c r="G128" s="37"/>
      <c r="H128" s="38"/>
      <c r="I128" s="39" t="s">
        <v>389</v>
      </c>
      <c r="J128" s="39"/>
      <c r="M128" s="374"/>
      <c r="N128" s="374"/>
      <c r="O128" s="374"/>
      <c r="S128" s="155"/>
      <c r="T128" s="363"/>
    </row>
    <row r="129" spans="1:19" s="68" customFormat="1" ht="15" customHeight="1">
      <c r="B129" s="375"/>
      <c r="C129" s="313" t="s">
        <v>42</v>
      </c>
      <c r="D129" s="376"/>
      <c r="E129" s="221" t="s">
        <v>82</v>
      </c>
      <c r="F129" s="221" t="s">
        <v>81</v>
      </c>
      <c r="G129" s="221" t="s">
        <v>87</v>
      </c>
      <c r="H129" s="221" t="s">
        <v>41</v>
      </c>
      <c r="I129" s="314" t="s">
        <v>79</v>
      </c>
      <c r="J129" s="314" t="s">
        <v>80</v>
      </c>
    </row>
    <row r="130" spans="1:19" s="68" customFormat="1" ht="12">
      <c r="B130" s="207" t="s">
        <v>22</v>
      </c>
      <c r="C130" s="377" t="s">
        <v>390</v>
      </c>
      <c r="D130" s="222">
        <f>D89+D92</f>
        <v>0</v>
      </c>
      <c r="E130" s="378"/>
      <c r="F130" s="1"/>
      <c r="G130" s="8"/>
      <c r="H130" s="2">
        <f>(E130*F130)*D130</f>
        <v>0</v>
      </c>
      <c r="I130" s="6">
        <f>H130/$J$7</f>
        <v>0</v>
      </c>
      <c r="J130" s="6">
        <f>H130/IF($D$4=0,$D$6,IF($D$4&gt;0,$D$4))</f>
        <v>0</v>
      </c>
      <c r="S130" s="155"/>
    </row>
    <row r="131" spans="1:19" s="68" customFormat="1" ht="12">
      <c r="B131" s="207" t="s">
        <v>22</v>
      </c>
      <c r="C131" s="377" t="s">
        <v>391</v>
      </c>
      <c r="D131" s="222">
        <f>SUM(E116:E116)</f>
        <v>0</v>
      </c>
      <c r="E131" s="378"/>
      <c r="F131" s="1"/>
      <c r="G131" s="8"/>
      <c r="H131" s="2">
        <f>(E131*F131)*D131</f>
        <v>0</v>
      </c>
      <c r="I131" s="6">
        <f>H131/$J$7</f>
        <v>0</v>
      </c>
      <c r="J131" s="6">
        <f>H131/IF($D$4=0,$D$6,IF($D$4&gt;0,$D$4))</f>
        <v>0</v>
      </c>
    </row>
    <row r="132" spans="1:19" s="68" customFormat="1" ht="12">
      <c r="B132" s="207" t="s">
        <v>22</v>
      </c>
      <c r="C132" s="377" t="s">
        <v>392</v>
      </c>
      <c r="D132" s="378"/>
      <c r="E132" s="378"/>
      <c r="F132" s="1"/>
      <c r="G132" s="8"/>
      <c r="H132" s="2">
        <f>(E132*F132)*D132</f>
        <v>0</v>
      </c>
      <c r="I132" s="6">
        <f>H132/$J$7</f>
        <v>0</v>
      </c>
      <c r="J132" s="6">
        <f>H132/IF($D$4=0,$D$6,IF($D$4&gt;0,$D$4))</f>
        <v>0</v>
      </c>
    </row>
    <row r="133" spans="1:19" s="68" customFormat="1" ht="12">
      <c r="B133" s="207" t="s">
        <v>22</v>
      </c>
      <c r="C133" s="377" t="s">
        <v>43</v>
      </c>
      <c r="D133" s="378"/>
      <c r="E133" s="378">
        <v>20</v>
      </c>
      <c r="F133" s="1">
        <v>165</v>
      </c>
      <c r="G133" s="8"/>
      <c r="H133" s="2">
        <f>((E133*F133)*D133)</f>
        <v>0</v>
      </c>
      <c r="I133" s="6">
        <f>H133/$J$7</f>
        <v>0</v>
      </c>
      <c r="J133" s="6">
        <f>H133/IF($D$4=0,$D$6,IF($D$4&gt;0,$D$4))</f>
        <v>0</v>
      </c>
    </row>
    <row r="134" spans="1:19" s="68" customFormat="1">
      <c r="B134" s="1096" t="s">
        <v>84</v>
      </c>
      <c r="C134" s="130"/>
      <c r="D134" s="379"/>
      <c r="E134" s="380"/>
      <c r="F134" s="311"/>
      <c r="G134" s="9"/>
      <c r="H134" s="7">
        <f>SUM(H130:H133)</f>
        <v>0</v>
      </c>
      <c r="I134" s="7">
        <f>SUM(I130:I133)</f>
        <v>0</v>
      </c>
      <c r="J134" s="7">
        <f>SUM(J130:J133)</f>
        <v>0</v>
      </c>
    </row>
    <row r="135" spans="1:19" s="68" customFormat="1" ht="4.5" customHeight="1">
      <c r="B135" s="1096"/>
      <c r="C135" s="328"/>
      <c r="D135" s="58"/>
      <c r="E135" s="58"/>
      <c r="F135" s="58"/>
      <c r="G135" s="58"/>
      <c r="H135" s="58"/>
      <c r="I135" s="131"/>
      <c r="J135" s="132"/>
    </row>
    <row r="136" spans="1:19" s="381" customFormat="1" ht="15" customHeight="1">
      <c r="B136" s="1096"/>
      <c r="C136" s="1108" t="s">
        <v>393</v>
      </c>
      <c r="D136" s="1108"/>
      <c r="E136" s="221" t="s">
        <v>394</v>
      </c>
      <c r="F136" s="221" t="s">
        <v>40</v>
      </c>
      <c r="G136" s="221" t="s">
        <v>334</v>
      </c>
      <c r="H136" s="221" t="s">
        <v>41</v>
      </c>
      <c r="I136" s="314" t="s">
        <v>79</v>
      </c>
      <c r="J136" s="314" t="s">
        <v>80</v>
      </c>
      <c r="P136" s="382"/>
      <c r="Q136" s="382"/>
      <c r="R136" s="382"/>
      <c r="S136" s="382"/>
    </row>
    <row r="137" spans="1:19" s="381" customFormat="1" ht="12">
      <c r="B137" s="114" t="s">
        <v>22</v>
      </c>
      <c r="C137" s="1118" t="s">
        <v>395</v>
      </c>
      <c r="D137" s="1119"/>
      <c r="E137" s="222">
        <f>SUM(D106:D110)</f>
        <v>7</v>
      </c>
      <c r="F137" s="383">
        <f>(D106*E106)</f>
        <v>0</v>
      </c>
      <c r="G137" s="1"/>
      <c r="H137" s="2">
        <f>(G137*F137)</f>
        <v>0</v>
      </c>
      <c r="I137" s="6">
        <f>H137/$J$7</f>
        <v>0</v>
      </c>
      <c r="J137" s="6">
        <f>H137/IF($D$4=0,$D$6,IF($D$4&gt;0,$D$4))</f>
        <v>0</v>
      </c>
      <c r="O137" s="267"/>
      <c r="P137" s="384"/>
      <c r="Q137" s="384"/>
      <c r="R137" s="384"/>
      <c r="S137" s="384"/>
    </row>
    <row r="138" spans="1:19" s="68" customFormat="1" ht="18.75" customHeight="1" thickBot="1">
      <c r="A138" s="155"/>
      <c r="B138" s="385"/>
      <c r="D138" s="386"/>
      <c r="E138" s="387"/>
      <c r="F138" s="388">
        <f>IF(G137=0,0,SUM(H137:H137)/G137)</f>
        <v>0</v>
      </c>
      <c r="G138" s="12"/>
      <c r="H138" s="7">
        <f>SUM(H137:H137)</f>
        <v>0</v>
      </c>
      <c r="I138" s="7">
        <f>SUM(I137:I137)</f>
        <v>0</v>
      </c>
      <c r="J138" s="7">
        <f>SUM(J137:J137)</f>
        <v>0</v>
      </c>
      <c r="L138" s="389"/>
      <c r="M138" s="389"/>
      <c r="P138" s="138"/>
      <c r="Q138" s="138"/>
      <c r="R138" s="138"/>
      <c r="S138" s="138"/>
    </row>
    <row r="139" spans="1:19" s="267" customFormat="1" ht="21" customHeight="1" thickBot="1">
      <c r="B139" s="1120" t="s">
        <v>46</v>
      </c>
      <c r="C139" s="1123" t="s">
        <v>47</v>
      </c>
      <c r="D139" s="1123"/>
      <c r="E139" s="1124"/>
      <c r="F139" s="1125" t="s">
        <v>48</v>
      </c>
      <c r="G139" s="1123"/>
      <c r="H139" s="1123"/>
      <c r="I139" s="1123"/>
      <c r="J139" s="1124"/>
      <c r="L139" s="13"/>
      <c r="M139" s="13"/>
    </row>
    <row r="140" spans="1:19" s="68" customFormat="1" ht="13.5" customHeight="1" thickBot="1">
      <c r="A140" s="390"/>
      <c r="B140" s="1121"/>
      <c r="C140" s="391" t="s">
        <v>129</v>
      </c>
      <c r="D140" s="392" t="s">
        <v>97</v>
      </c>
      <c r="E140" s="393" t="s">
        <v>130</v>
      </c>
      <c r="F140" s="394"/>
      <c r="G140" s="395" t="s">
        <v>34</v>
      </c>
      <c r="H140" s="396"/>
      <c r="I140" s="397" t="s">
        <v>37</v>
      </c>
      <c r="J140" s="398"/>
      <c r="K140" s="107"/>
      <c r="L140" s="399"/>
      <c r="P140" s="399"/>
      <c r="Q140" s="399"/>
      <c r="R140" s="400"/>
    </row>
    <row r="141" spans="1:19" s="68" customFormat="1" ht="13.5" customHeight="1">
      <c r="A141" s="390"/>
      <c r="B141" s="1121"/>
      <c r="C141" s="1126" t="s">
        <v>133</v>
      </c>
      <c r="D141" s="1126"/>
      <c r="E141" s="1127"/>
      <c r="F141" s="401"/>
      <c r="G141" s="402" t="s">
        <v>35</v>
      </c>
      <c r="H141" s="403"/>
      <c r="I141" s="402" t="s">
        <v>36</v>
      </c>
      <c r="J141" s="404"/>
      <c r="K141" s="107"/>
      <c r="L141" s="399"/>
      <c r="P141" s="399"/>
      <c r="Q141" s="399"/>
      <c r="R141" s="400"/>
    </row>
    <row r="142" spans="1:19" s="68" customFormat="1" ht="13.5" customHeight="1">
      <c r="A142" s="390"/>
      <c r="B142" s="1121"/>
      <c r="C142" s="1128" t="s">
        <v>135</v>
      </c>
      <c r="D142" s="1129"/>
      <c r="E142" s="405"/>
      <c r="F142" s="401"/>
      <c r="G142" s="406" t="s">
        <v>51</v>
      </c>
      <c r="H142" s="407"/>
      <c r="I142" s="408"/>
      <c r="J142" s="409"/>
      <c r="K142" s="107"/>
      <c r="L142" s="399"/>
      <c r="P142" s="399"/>
      <c r="Q142" s="399"/>
      <c r="R142" s="400"/>
    </row>
    <row r="143" spans="1:19" s="68" customFormat="1" ht="13.5" customHeight="1">
      <c r="A143" s="390"/>
      <c r="B143" s="1121"/>
      <c r="C143" s="1128" t="s">
        <v>136</v>
      </c>
      <c r="D143" s="1129"/>
      <c r="E143" s="405"/>
      <c r="F143" s="401"/>
      <c r="G143" s="410"/>
      <c r="H143" s="411"/>
      <c r="I143" s="412" t="s">
        <v>396</v>
      </c>
      <c r="J143" s="413">
        <f>(H140*(J141+J140))+((H140-1)*H141)</f>
        <v>0</v>
      </c>
      <c r="K143" s="107"/>
      <c r="L143" s="399"/>
      <c r="P143" s="399"/>
      <c r="Q143" s="399"/>
      <c r="R143" s="400"/>
    </row>
    <row r="144" spans="1:19" s="68" customFormat="1" ht="13.5" customHeight="1">
      <c r="A144" s="390"/>
      <c r="B144" s="1121"/>
      <c r="C144" s="1128" t="s">
        <v>137</v>
      </c>
      <c r="D144" s="1129"/>
      <c r="E144" s="405"/>
      <c r="F144" s="412"/>
      <c r="I144" s="414" t="s">
        <v>140</v>
      </c>
      <c r="J144" s="415">
        <f>J143+H142</f>
        <v>0</v>
      </c>
      <c r="K144" s="107"/>
      <c r="L144" s="399"/>
      <c r="P144" s="399"/>
      <c r="Q144" s="399"/>
      <c r="R144" s="400"/>
    </row>
    <row r="145" spans="1:19" s="68" customFormat="1" ht="13.5" customHeight="1" thickBot="1">
      <c r="A145" s="390"/>
      <c r="B145" s="1121"/>
      <c r="C145" s="1130" t="s">
        <v>134</v>
      </c>
      <c r="D145" s="1131"/>
      <c r="E145" s="416">
        <f>E142*(((G10-E143)*E144)-H10)</f>
        <v>0</v>
      </c>
      <c r="F145" s="417" t="s">
        <v>52</v>
      </c>
      <c r="G145" s="418"/>
      <c r="H145" s="419"/>
      <c r="I145" s="419"/>
      <c r="J145" s="420"/>
      <c r="K145" s="107"/>
      <c r="L145" s="399"/>
      <c r="P145" s="399"/>
      <c r="Q145" s="399"/>
      <c r="R145" s="400"/>
    </row>
    <row r="146" spans="1:19" s="429" customFormat="1" ht="13.5" customHeight="1">
      <c r="A146" s="390"/>
      <c r="B146" s="1121"/>
      <c r="C146" s="1132" t="s">
        <v>85</v>
      </c>
      <c r="D146" s="1132"/>
      <c r="E146" s="421">
        <f>IF(E152=0,0,(($D$154+E145)*2)/(SUM(E150:E151)+($E$149/2)))</f>
        <v>965.5</v>
      </c>
      <c r="F146" s="422">
        <f>J144</f>
        <v>0</v>
      </c>
      <c r="G146" s="423" t="s">
        <v>22</v>
      </c>
      <c r="H146" s="424">
        <f>J7</f>
        <v>516</v>
      </c>
      <c r="I146" s="425" t="s">
        <v>53</v>
      </c>
      <c r="J146" s="426" t="s">
        <v>54</v>
      </c>
      <c r="K146" s="427"/>
      <c r="L146" s="428"/>
      <c r="P146" s="428"/>
      <c r="Q146" s="428"/>
      <c r="R146" s="430"/>
    </row>
    <row r="147" spans="1:19" s="68" customFormat="1" ht="13.5" customHeight="1" thickBot="1">
      <c r="A147" s="390"/>
      <c r="B147" s="1121"/>
      <c r="C147" s="1141" t="s">
        <v>49</v>
      </c>
      <c r="D147" s="1141"/>
      <c r="E147" s="431">
        <f>IF(E152=0,0,J7/E150)</f>
        <v>129</v>
      </c>
      <c r="F147" s="412" t="s">
        <v>55</v>
      </c>
      <c r="G147" s="432">
        <f>SUM(J1:J2)</f>
        <v>13</v>
      </c>
      <c r="H147" s="433"/>
      <c r="I147" s="406"/>
      <c r="J147" s="434"/>
      <c r="K147" s="119"/>
      <c r="L147" s="119"/>
      <c r="M147" s="119"/>
      <c r="P147" s="119"/>
      <c r="Q147" s="119"/>
      <c r="R147" s="119"/>
      <c r="S147" s="119"/>
    </row>
    <row r="148" spans="1:19" s="231" customFormat="1" ht="13.5" customHeight="1">
      <c r="A148" s="390"/>
      <c r="B148" s="1121"/>
      <c r="C148" s="1126" t="s">
        <v>138</v>
      </c>
      <c r="D148" s="1126"/>
      <c r="E148" s="1127"/>
      <c r="F148" s="412" t="s">
        <v>56</v>
      </c>
      <c r="G148" s="378"/>
      <c r="H148" s="433"/>
      <c r="I148" s="435" t="s">
        <v>139</v>
      </c>
      <c r="J148" s="436">
        <f>(F146*H146)/3600</f>
        <v>0</v>
      </c>
      <c r="K148" s="387"/>
      <c r="L148" s="387"/>
      <c r="M148" s="387"/>
      <c r="N148" s="249"/>
      <c r="O148" s="249"/>
      <c r="P148" s="387"/>
      <c r="Q148" s="387"/>
      <c r="R148" s="387"/>
      <c r="S148" s="387"/>
    </row>
    <row r="149" spans="1:19" ht="13.5" customHeight="1">
      <c r="A149" s="390"/>
      <c r="B149" s="1121"/>
      <c r="C149" s="1142" t="s">
        <v>50</v>
      </c>
      <c r="D149" s="1128"/>
      <c r="E149" s="437"/>
      <c r="F149" s="412" t="s">
        <v>57</v>
      </c>
      <c r="G149" s="378"/>
      <c r="H149" s="433"/>
      <c r="I149" s="438" t="s">
        <v>58</v>
      </c>
      <c r="J149" s="439">
        <f>J148/G152</f>
        <v>0</v>
      </c>
    </row>
    <row r="150" spans="1:19" s="381" customFormat="1" ht="13.5" customHeight="1">
      <c r="A150" s="390"/>
      <c r="B150" s="1121"/>
      <c r="C150" s="1143" t="s">
        <v>59</v>
      </c>
      <c r="D150" s="1144"/>
      <c r="E150" s="437">
        <v>4</v>
      </c>
      <c r="F150" s="412" t="s">
        <v>60</v>
      </c>
      <c r="G150" s="378"/>
      <c r="H150" s="433"/>
      <c r="I150" s="433"/>
      <c r="J150" s="440"/>
      <c r="L150" s="14"/>
      <c r="M150" s="14"/>
      <c r="P150" s="382"/>
      <c r="Q150" s="382"/>
      <c r="R150" s="382"/>
      <c r="S150" s="382"/>
    </row>
    <row r="151" spans="1:19" s="381" customFormat="1" ht="13.5" customHeight="1">
      <c r="A151" s="390"/>
      <c r="B151" s="1121"/>
      <c r="C151" s="441" t="s">
        <v>61</v>
      </c>
      <c r="D151" s="442">
        <f>IF(SUM(G148:G151)=0,0,J149)</f>
        <v>0</v>
      </c>
      <c r="E151" s="443"/>
      <c r="F151" s="412" t="s">
        <v>62</v>
      </c>
      <c r="G151" s="378"/>
      <c r="H151" s="433"/>
      <c r="I151" s="414" t="s">
        <v>63</v>
      </c>
      <c r="J151" s="444" t="e">
        <f>IF($D$4&gt;0,$D$4,$D$6)/J149</f>
        <v>#DIV/0!</v>
      </c>
      <c r="K151" s="384"/>
      <c r="L151" s="384"/>
      <c r="M151" s="384"/>
      <c r="N151" s="267"/>
      <c r="O151" s="267"/>
      <c r="P151" s="384"/>
      <c r="Q151" s="384"/>
      <c r="R151" s="384"/>
      <c r="S151" s="384"/>
    </row>
    <row r="152" spans="1:19" s="381" customFormat="1" ht="13.5" customHeight="1" thickBot="1">
      <c r="B152" s="1121"/>
      <c r="C152" s="1145" t="s">
        <v>64</v>
      </c>
      <c r="D152" s="1146"/>
      <c r="E152" s="445">
        <f>SUM(E149:E151)</f>
        <v>4</v>
      </c>
      <c r="F152" s="446" t="s">
        <v>65</v>
      </c>
      <c r="G152" s="447">
        <f>G147-SUM(G148:G151)</f>
        <v>13</v>
      </c>
      <c r="H152" s="448"/>
      <c r="I152" s="449" t="s">
        <v>66</v>
      </c>
      <c r="J152" s="450" t="e">
        <f>$J$7/J149</f>
        <v>#DIV/0!</v>
      </c>
      <c r="K152" s="384"/>
      <c r="L152" s="384"/>
      <c r="M152" s="384"/>
      <c r="N152" s="267"/>
      <c r="O152" s="267"/>
      <c r="P152" s="384"/>
      <c r="Q152" s="384"/>
      <c r="R152" s="384"/>
      <c r="S152" s="384"/>
    </row>
    <row r="153" spans="1:19" s="381" customFormat="1" ht="4.5" customHeight="1">
      <c r="B153" s="1121"/>
      <c r="C153" s="267"/>
      <c r="D153" s="267"/>
      <c r="E153" s="267"/>
      <c r="F153" s="451"/>
      <c r="G153" s="452"/>
      <c r="H153" s="453"/>
      <c r="I153" s="451"/>
      <c r="J153" s="454"/>
      <c r="K153" s="384"/>
      <c r="L153" s="384"/>
      <c r="M153" s="384"/>
      <c r="N153" s="267"/>
      <c r="O153" s="267"/>
      <c r="P153" s="384"/>
      <c r="Q153" s="384"/>
      <c r="R153" s="384"/>
      <c r="S153" s="384"/>
    </row>
    <row r="154" spans="1:19" s="381" customFormat="1" ht="13.5" customHeight="1">
      <c r="B154" s="1121"/>
      <c r="C154" s="1147" t="s">
        <v>121</v>
      </c>
      <c r="D154" s="1133">
        <f>$G$7+E145</f>
        <v>1931</v>
      </c>
      <c r="E154" s="1135" t="s">
        <v>132</v>
      </c>
      <c r="F154" s="1133" t="s">
        <v>123</v>
      </c>
      <c r="G154" s="1135" t="s">
        <v>125</v>
      </c>
      <c r="H154" s="1133" t="s">
        <v>122</v>
      </c>
      <c r="I154" s="1135" t="s">
        <v>124</v>
      </c>
      <c r="J154" s="455"/>
      <c r="K154" s="384"/>
      <c r="L154" s="384"/>
      <c r="M154" s="384"/>
      <c r="N154" s="267"/>
      <c r="O154" s="267"/>
      <c r="P154" s="384"/>
      <c r="Q154" s="384"/>
      <c r="R154" s="384"/>
      <c r="S154" s="384"/>
    </row>
    <row r="155" spans="1:19" s="381" customFormat="1" ht="13.5" customHeight="1">
      <c r="B155" s="1121"/>
      <c r="C155" s="1148"/>
      <c r="D155" s="1149"/>
      <c r="E155" s="1134"/>
      <c r="F155" s="1134"/>
      <c r="G155" s="1134"/>
      <c r="H155" s="1134"/>
      <c r="I155" s="1134"/>
      <c r="J155" s="455"/>
      <c r="K155" s="384"/>
      <c r="L155" s="384"/>
      <c r="M155" s="384"/>
      <c r="N155" s="267"/>
      <c r="O155" s="267"/>
      <c r="P155" s="384"/>
      <c r="Q155" s="384"/>
      <c r="R155" s="384"/>
      <c r="S155" s="384"/>
    </row>
    <row r="156" spans="1:19" s="381" customFormat="1" ht="13.5" customHeight="1">
      <c r="B156" s="1121"/>
      <c r="C156" s="456" t="s">
        <v>127</v>
      </c>
      <c r="D156" s="457">
        <f>IF($D$140="YES",($D$154*2)/$E$149,IF($D$140="NO",($D$154)/(($E$152-E149)+($E$149/2))))</f>
        <v>482.75</v>
      </c>
      <c r="E156" s="458">
        <f>$D$26</f>
        <v>4</v>
      </c>
      <c r="F156" s="316">
        <v>5</v>
      </c>
      <c r="G156" s="459">
        <f>(D156/$D$26)/(F156-1)</f>
        <v>30.171875</v>
      </c>
      <c r="H156" s="378">
        <v>8</v>
      </c>
      <c r="I156" s="460">
        <f>G156/H156</f>
        <v>3.771484375</v>
      </c>
      <c r="J156" s="455"/>
      <c r="K156" s="384"/>
      <c r="L156" s="384"/>
      <c r="M156" s="384"/>
      <c r="N156" s="267"/>
      <c r="O156" s="267"/>
      <c r="P156" s="384"/>
      <c r="Q156" s="384"/>
      <c r="R156" s="384"/>
      <c r="S156" s="384"/>
    </row>
    <row r="157" spans="1:19" s="381" customFormat="1" ht="13.5" customHeight="1">
      <c r="B157" s="1121"/>
      <c r="C157" s="456" t="s">
        <v>128</v>
      </c>
      <c r="D157" s="457">
        <f>IF($D$140="YES",($D$154*2)/$E$149,IF($D$140="NO",($D$154)/(($E$152-E149)+($E$149/2))))</f>
        <v>482.75</v>
      </c>
      <c r="E157" s="461">
        <f>$D$26</f>
        <v>4</v>
      </c>
      <c r="F157" s="316">
        <v>5</v>
      </c>
      <c r="G157" s="459">
        <f>(D157/$D$26)/(F157-1)</f>
        <v>30.171875</v>
      </c>
      <c r="H157" s="378">
        <v>8</v>
      </c>
      <c r="I157" s="460">
        <f>G157/H157</f>
        <v>3.771484375</v>
      </c>
      <c r="J157" s="455"/>
      <c r="K157" s="384"/>
      <c r="L157" s="384"/>
      <c r="M157" s="384"/>
      <c r="N157" s="267"/>
      <c r="O157" s="267"/>
      <c r="P157" s="384"/>
      <c r="Q157" s="384"/>
      <c r="R157" s="384"/>
      <c r="S157" s="384"/>
    </row>
    <row r="158" spans="1:19" s="381" customFormat="1" ht="13.5" customHeight="1" thickBot="1">
      <c r="B158" s="1122"/>
      <c r="C158" s="462" t="s">
        <v>126</v>
      </c>
      <c r="D158" s="463">
        <f>IF(E147=0,0,E147/D24)</f>
        <v>64.5</v>
      </c>
      <c r="E158" s="1136">
        <f>D156*G5/1000</f>
        <v>8.2067499999999995</v>
      </c>
      <c r="F158" s="1137"/>
      <c r="G158" s="464"/>
      <c r="H158" s="464"/>
      <c r="I158" s="465"/>
      <c r="J158" s="466"/>
      <c r="K158" s="384"/>
      <c r="L158" s="384"/>
      <c r="M158" s="384"/>
      <c r="N158" s="267"/>
      <c r="O158" s="267"/>
      <c r="P158" s="384"/>
      <c r="Q158" s="384"/>
      <c r="R158" s="384"/>
      <c r="S158" s="384"/>
    </row>
    <row r="159" spans="1:19" s="381" customFormat="1" ht="11.25" customHeight="1">
      <c r="B159" s="1138" t="s">
        <v>84</v>
      </c>
      <c r="C159" s="467"/>
      <c r="D159" s="453"/>
      <c r="E159" s="453"/>
      <c r="F159" s="453"/>
      <c r="G159" s="468"/>
      <c r="H159" s="453"/>
      <c r="I159" s="453"/>
      <c r="J159" s="453"/>
      <c r="K159" s="384"/>
      <c r="L159" s="384"/>
      <c r="M159" s="384"/>
      <c r="N159" s="267"/>
      <c r="O159" s="267"/>
      <c r="P159" s="384"/>
      <c r="Q159" s="384"/>
      <c r="R159" s="384"/>
      <c r="S159" s="384"/>
    </row>
    <row r="160" spans="1:19" ht="15.75">
      <c r="B160" s="1086"/>
      <c r="C160" s="1139" t="s">
        <v>67</v>
      </c>
      <c r="D160" s="1140"/>
      <c r="E160" s="221" t="s">
        <v>131</v>
      </c>
      <c r="F160" s="221" t="s">
        <v>40</v>
      </c>
      <c r="G160" s="221" t="s">
        <v>78</v>
      </c>
      <c r="H160" s="221" t="s">
        <v>41</v>
      </c>
      <c r="I160" s="314" t="s">
        <v>79</v>
      </c>
      <c r="J160" s="314" t="s">
        <v>80</v>
      </c>
      <c r="N160" s="58"/>
      <c r="O160" s="58"/>
    </row>
    <row r="161" spans="1:19" s="469" customFormat="1" ht="12">
      <c r="B161" s="283" t="s">
        <v>22</v>
      </c>
      <c r="C161" s="1100" t="s">
        <v>68</v>
      </c>
      <c r="D161" s="1150"/>
      <c r="E161" s="378">
        <v>6</v>
      </c>
      <c r="F161" s="316">
        <v>2</v>
      </c>
      <c r="G161" s="11">
        <f>C62</f>
        <v>850</v>
      </c>
      <c r="H161" s="2">
        <f>(C62*E161)*F161</f>
        <v>10200</v>
      </c>
      <c r="I161" s="6">
        <f t="shared" ref="I161:I169" si="13">H161/$J$7</f>
        <v>19.767441860465116</v>
      </c>
      <c r="J161" s="6">
        <f t="shared" ref="J161:J169" si="14">H161/IF($D$4=0,$D$6,IF($D$4&gt;0,$D$4))</f>
        <v>311.92660550458714</v>
      </c>
    </row>
    <row r="162" spans="1:19" s="469" customFormat="1" ht="12">
      <c r="A162" s="1151" t="s">
        <v>118</v>
      </c>
      <c r="B162" s="114" t="s">
        <v>22</v>
      </c>
      <c r="C162" s="1100" t="s">
        <v>111</v>
      </c>
      <c r="D162" s="1150"/>
      <c r="E162" s="378">
        <v>13</v>
      </c>
      <c r="F162" s="378">
        <v>4</v>
      </c>
      <c r="G162" s="11">
        <f>G62</f>
        <v>1400</v>
      </c>
      <c r="H162" s="2">
        <f>(G162*E162)*F162</f>
        <v>72800</v>
      </c>
      <c r="I162" s="6">
        <f t="shared" si="13"/>
        <v>141.08527131782947</v>
      </c>
      <c r="J162" s="6">
        <f t="shared" si="14"/>
        <v>2226.2996941896022</v>
      </c>
    </row>
    <row r="163" spans="1:19" s="469" customFormat="1" ht="12">
      <c r="A163" s="1151"/>
      <c r="B163" s="114" t="s">
        <v>22</v>
      </c>
      <c r="C163" s="1100" t="s">
        <v>112</v>
      </c>
      <c r="D163" s="1150"/>
      <c r="E163" s="470">
        <f>J2</f>
        <v>0</v>
      </c>
      <c r="F163" s="432">
        <f>F162</f>
        <v>4</v>
      </c>
      <c r="G163" s="11">
        <f>I62</f>
        <v>0</v>
      </c>
      <c r="H163" s="2">
        <f>(G163*E163)*F163</f>
        <v>0</v>
      </c>
      <c r="I163" s="6">
        <f t="shared" si="13"/>
        <v>0</v>
      </c>
      <c r="J163" s="6">
        <f t="shared" si="14"/>
        <v>0</v>
      </c>
    </row>
    <row r="164" spans="1:19" s="256" customFormat="1" ht="12">
      <c r="A164" s="1151"/>
      <c r="B164" s="114" t="s">
        <v>22</v>
      </c>
      <c r="C164" s="1100" t="s">
        <v>69</v>
      </c>
      <c r="D164" s="1150"/>
      <c r="E164" s="432">
        <f>J3</f>
        <v>12</v>
      </c>
      <c r="F164" s="316"/>
      <c r="G164" s="11">
        <f>J62</f>
        <v>915</v>
      </c>
      <c r="H164" s="2">
        <f>(G164*E164)*F164</f>
        <v>0</v>
      </c>
      <c r="I164" s="6">
        <f t="shared" si="13"/>
        <v>0</v>
      </c>
      <c r="J164" s="6">
        <f t="shared" si="14"/>
        <v>0</v>
      </c>
    </row>
    <row r="165" spans="1:19" s="471" customFormat="1" ht="12">
      <c r="A165" s="1151"/>
      <c r="B165" s="114" t="s">
        <v>22</v>
      </c>
      <c r="C165" s="1100" t="s">
        <v>397</v>
      </c>
      <c r="D165" s="1150"/>
      <c r="E165" s="222"/>
      <c r="F165" s="432">
        <f>SUM(F161:F164)</f>
        <v>10</v>
      </c>
      <c r="G165" s="1"/>
      <c r="H165" s="2">
        <f>(G165*F165)</f>
        <v>0</v>
      </c>
      <c r="I165" s="6">
        <f t="shared" si="13"/>
        <v>0</v>
      </c>
      <c r="J165" s="6">
        <f t="shared" si="14"/>
        <v>0</v>
      </c>
    </row>
    <row r="166" spans="1:19" s="469" customFormat="1" ht="12">
      <c r="A166" s="1151"/>
      <c r="B166" s="114" t="s">
        <v>22</v>
      </c>
      <c r="C166" s="1100" t="s">
        <v>398</v>
      </c>
      <c r="D166" s="1150"/>
      <c r="E166" s="472">
        <v>1</v>
      </c>
      <c r="F166" s="378"/>
      <c r="G166" s="1">
        <v>10000</v>
      </c>
      <c r="H166" s="2">
        <f>(G166*E166)*F166</f>
        <v>0</v>
      </c>
      <c r="I166" s="6">
        <f t="shared" si="13"/>
        <v>0</v>
      </c>
      <c r="J166" s="6">
        <f t="shared" si="14"/>
        <v>0</v>
      </c>
    </row>
    <row r="167" spans="1:19" s="469" customFormat="1" ht="12">
      <c r="A167" s="1151"/>
      <c r="B167" s="114" t="s">
        <v>22</v>
      </c>
      <c r="C167" s="1153" t="s">
        <v>399</v>
      </c>
      <c r="D167" s="1154"/>
      <c r="E167" s="472">
        <v>1</v>
      </c>
      <c r="F167" s="317">
        <f>IF(D4=0,D5,D4)</f>
        <v>32.700000000000003</v>
      </c>
      <c r="G167" s="1"/>
      <c r="H167" s="2">
        <f>(G167*E167)*F167</f>
        <v>0</v>
      </c>
      <c r="I167" s="6">
        <f t="shared" si="13"/>
        <v>0</v>
      </c>
      <c r="J167" s="6">
        <f t="shared" si="14"/>
        <v>0</v>
      </c>
    </row>
    <row r="168" spans="1:19" s="469" customFormat="1" ht="12">
      <c r="A168" s="1151"/>
      <c r="B168" s="114" t="s">
        <v>22</v>
      </c>
      <c r="C168" s="473" t="s">
        <v>400</v>
      </c>
      <c r="D168" s="474">
        <v>0</v>
      </c>
      <c r="E168" s="475">
        <v>0</v>
      </c>
      <c r="F168" s="432">
        <f>SUM(F162:F162)</f>
        <v>4</v>
      </c>
      <c r="G168" s="476"/>
      <c r="H168" s="2">
        <f>(G168*F168)</f>
        <v>0</v>
      </c>
      <c r="I168" s="6">
        <f t="shared" si="13"/>
        <v>0</v>
      </c>
      <c r="J168" s="6">
        <f t="shared" si="14"/>
        <v>0</v>
      </c>
    </row>
    <row r="169" spans="1:19" s="469" customFormat="1" ht="12">
      <c r="A169" s="1151"/>
      <c r="B169" s="114" t="s">
        <v>22</v>
      </c>
      <c r="C169" s="1100" t="s">
        <v>401</v>
      </c>
      <c r="D169" s="1101"/>
      <c r="E169" s="1150"/>
      <c r="F169" s="222">
        <f>J7</f>
        <v>516</v>
      </c>
      <c r="G169" s="1"/>
      <c r="H169" s="2">
        <f>(G169*F169)</f>
        <v>0</v>
      </c>
      <c r="I169" s="6">
        <f t="shared" si="13"/>
        <v>0</v>
      </c>
      <c r="J169" s="6">
        <f t="shared" si="14"/>
        <v>0</v>
      </c>
    </row>
    <row r="170" spans="1:19" s="469" customFormat="1" ht="12.75" customHeight="1">
      <c r="A170" s="1151"/>
      <c r="B170" s="1096" t="s">
        <v>84</v>
      </c>
      <c r="C170" s="477"/>
      <c r="D170" s="386"/>
      <c r="E170" s="387"/>
      <c r="F170" s="478"/>
      <c r="G170" s="12"/>
      <c r="H170" s="7">
        <f>SUM(H161:H169)</f>
        <v>83000</v>
      </c>
      <c r="I170" s="7">
        <f>SUM(I161:I169)</f>
        <v>160.85271317829458</v>
      </c>
      <c r="J170" s="7">
        <f>SUM(J161:J169)</f>
        <v>2538.2262996941895</v>
      </c>
      <c r="L170" s="469" t="s">
        <v>119</v>
      </c>
    </row>
    <row r="171" spans="1:19" s="469" customFormat="1" ht="6" customHeight="1">
      <c r="A171" s="1151"/>
      <c r="B171" s="1096"/>
      <c r="C171" s="477"/>
      <c r="D171" s="364"/>
      <c r="E171" s="364"/>
      <c r="F171" s="364"/>
      <c r="G171" s="336"/>
      <c r="H171" s="479"/>
      <c r="I171" s="480"/>
      <c r="J171" s="480"/>
    </row>
    <row r="172" spans="1:19" s="381" customFormat="1" ht="15.75" customHeight="1">
      <c r="A172" s="1151"/>
      <c r="B172" s="1096"/>
      <c r="C172" s="1139" t="s">
        <v>402</v>
      </c>
      <c r="D172" s="1140"/>
      <c r="E172" s="221" t="s">
        <v>147</v>
      </c>
      <c r="F172" s="221" t="s">
        <v>148</v>
      </c>
      <c r="G172" s="221" t="s">
        <v>119</v>
      </c>
      <c r="H172" s="221" t="s">
        <v>41</v>
      </c>
      <c r="I172" s="314" t="s">
        <v>96</v>
      </c>
      <c r="J172" s="314" t="s">
        <v>80</v>
      </c>
      <c r="K172" s="381" t="s">
        <v>196</v>
      </c>
      <c r="L172" s="381" t="s">
        <v>403</v>
      </c>
      <c r="M172" s="381" t="s">
        <v>404</v>
      </c>
      <c r="N172" s="267"/>
      <c r="O172" s="267"/>
      <c r="P172" s="384"/>
      <c r="Q172" s="384"/>
      <c r="R172" s="384"/>
      <c r="S172" s="384"/>
    </row>
    <row r="173" spans="1:19" s="381" customFormat="1" ht="12">
      <c r="A173" s="1152"/>
      <c r="B173" s="207" t="s">
        <v>22</v>
      </c>
      <c r="C173" s="473" t="s">
        <v>155</v>
      </c>
      <c r="D173" s="44" t="s">
        <v>120</v>
      </c>
      <c r="E173" s="15"/>
      <c r="F173" s="11">
        <f>IF(D173=0,0,IF($G$173="yes",VLOOKUP(D173,$K$173:$M$181,2,FALSE),IF($G$173="no",VLOOKUP(D173,$K$173:$M$181,3,FALSE))))</f>
        <v>1690</v>
      </c>
      <c r="G173" s="481" t="s">
        <v>156</v>
      </c>
      <c r="H173" s="2">
        <f>E173*F173</f>
        <v>0</v>
      </c>
      <c r="I173" s="6">
        <f>H173/$J$7</f>
        <v>0</v>
      </c>
      <c r="J173" s="6">
        <f>H173/IF($D$4=0,$D$6,IF($D$4&gt;0,$D$4))</f>
        <v>0</v>
      </c>
      <c r="K173" s="381" t="s">
        <v>405</v>
      </c>
      <c r="L173" s="381">
        <v>1010</v>
      </c>
      <c r="M173" s="381">
        <v>695</v>
      </c>
      <c r="N173" s="267"/>
      <c r="O173" s="267"/>
      <c r="P173" s="384"/>
      <c r="Q173" s="384"/>
      <c r="R173" s="384"/>
      <c r="S173" s="384"/>
    </row>
    <row r="174" spans="1:19" s="381" customFormat="1" ht="12">
      <c r="A174" s="482" t="e">
        <f>IF(#REF!=0,0,E174/#REF!)</f>
        <v>#REF!</v>
      </c>
      <c r="B174" s="207" t="s">
        <v>22</v>
      </c>
      <c r="C174" s="473" t="s">
        <v>406</v>
      </c>
      <c r="D174" s="44" t="s">
        <v>407</v>
      </c>
      <c r="E174" s="16">
        <f>D6*G174</f>
        <v>0</v>
      </c>
      <c r="F174" s="11">
        <f>IF(D174=0,0,IF($G$173="yes",VLOOKUP(D174,$K$173:$M$181,2,FALSE),IF($G$173="no",VLOOKUP(D174,$K$173:$M$181,3,FALSE))))</f>
        <v>1580</v>
      </c>
      <c r="G174" s="17"/>
      <c r="H174" s="2">
        <f>E174*F174</f>
        <v>0</v>
      </c>
      <c r="I174" s="6">
        <f>H174/$J$7</f>
        <v>0</v>
      </c>
      <c r="J174" s="6">
        <f>H174/IF($D$4=0,$D$6,IF($D$4&gt;0,$D$6))</f>
        <v>0</v>
      </c>
      <c r="K174" s="381" t="s">
        <v>408</v>
      </c>
      <c r="L174" s="381">
        <v>1000</v>
      </c>
      <c r="M174" s="381">
        <v>765</v>
      </c>
      <c r="N174" s="267"/>
      <c r="O174" s="267"/>
      <c r="P174" s="384"/>
      <c r="Q174" s="384"/>
      <c r="R174" s="384"/>
      <c r="S174" s="384"/>
    </row>
    <row r="175" spans="1:19" s="381" customFormat="1" ht="12">
      <c r="A175" s="482" t="e">
        <f>IF(#REF!=0,0,E175/#REF!)</f>
        <v>#REF!</v>
      </c>
      <c r="B175" s="207" t="s">
        <v>22</v>
      </c>
      <c r="C175" s="473" t="s">
        <v>409</v>
      </c>
      <c r="D175" s="44"/>
      <c r="E175" s="16">
        <f>(D6*G175)</f>
        <v>0</v>
      </c>
      <c r="F175" s="11">
        <f>IF(D175=0,0,IF($G$173="yes",VLOOKUP(D175,$K$173:$M$181,2,FALSE),IF($G$173="no",VLOOKUP(D175,$K$173:$M$181,3,FALSE))))</f>
        <v>0</v>
      </c>
      <c r="G175" s="17"/>
      <c r="H175" s="2">
        <f>E175*F175</f>
        <v>0</v>
      </c>
      <c r="I175" s="6">
        <f>H175/$J$7</f>
        <v>0</v>
      </c>
      <c r="J175" s="6">
        <f>H175/IF($D$4=0,$D$6,IF($D$4&gt;0,$D$6))</f>
        <v>0</v>
      </c>
      <c r="K175" s="381" t="s">
        <v>410</v>
      </c>
      <c r="L175" s="381">
        <v>1000</v>
      </c>
      <c r="M175" s="381">
        <v>895</v>
      </c>
      <c r="N175" s="267"/>
      <c r="O175" s="267"/>
      <c r="P175" s="384"/>
      <c r="Q175" s="384"/>
      <c r="R175" s="384"/>
      <c r="S175" s="384"/>
    </row>
    <row r="176" spans="1:19" s="68" customFormat="1" ht="12">
      <c r="A176" s="482">
        <f>IF(E152=0,0,E176/$E$152)</f>
        <v>482.75</v>
      </c>
      <c r="B176" s="207" t="s">
        <v>22</v>
      </c>
      <c r="C176" s="473" t="s">
        <v>70</v>
      </c>
      <c r="D176" s="44" t="s">
        <v>407</v>
      </c>
      <c r="E176" s="16">
        <f>D154</f>
        <v>1931</v>
      </c>
      <c r="F176" s="17"/>
      <c r="G176" s="17"/>
      <c r="H176" s="2">
        <f>E176*F176</f>
        <v>0</v>
      </c>
      <c r="I176" s="6">
        <f>H176/$G$7</f>
        <v>0</v>
      </c>
      <c r="J176" s="6">
        <f>H176/IF($D$4=0,$D$6,IF($D$4&gt;0,$D$4))</f>
        <v>0</v>
      </c>
      <c r="K176" s="68" t="s">
        <v>411</v>
      </c>
      <c r="L176" s="68">
        <v>1465</v>
      </c>
      <c r="M176" s="68">
        <v>990</v>
      </c>
      <c r="P176" s="119"/>
      <c r="Q176" s="119"/>
      <c r="R176" s="119"/>
      <c r="S176" s="119"/>
    </row>
    <row r="177" spans="1:19" s="68" customFormat="1" ht="12">
      <c r="B177" s="207" t="s">
        <v>22</v>
      </c>
      <c r="C177" s="473" t="s">
        <v>114</v>
      </c>
      <c r="D177" s="483"/>
      <c r="E177" s="46">
        <v>2</v>
      </c>
      <c r="F177" s="1"/>
      <c r="G177" s="45">
        <f>IF(E177=0,0,F162)</f>
        <v>4</v>
      </c>
      <c r="H177" s="2">
        <f>E177*F177*G177</f>
        <v>0</v>
      </c>
      <c r="I177" s="6">
        <f>H177/$G$7</f>
        <v>0</v>
      </c>
      <c r="J177" s="6">
        <f>H177/IF($D$4=0,$D$6,IF($D$4&gt;0,$D$4))</f>
        <v>0</v>
      </c>
      <c r="K177" s="68" t="s">
        <v>407</v>
      </c>
      <c r="L177" s="68">
        <v>1580</v>
      </c>
      <c r="M177" s="68">
        <v>1040</v>
      </c>
      <c r="P177" s="119"/>
      <c r="Q177" s="119"/>
      <c r="R177" s="119"/>
      <c r="S177" s="119"/>
    </row>
    <row r="178" spans="1:19" s="231" customFormat="1">
      <c r="B178" s="207" t="s">
        <v>22</v>
      </c>
      <c r="C178" s="473" t="s">
        <v>412</v>
      </c>
      <c r="D178" s="483"/>
      <c r="E178" s="3">
        <v>1</v>
      </c>
      <c r="F178" s="1"/>
      <c r="G178" s="47">
        <f>IF(E178=0,0,F163)</f>
        <v>4</v>
      </c>
      <c r="H178" s="2">
        <f>E178*F178*G178</f>
        <v>0</v>
      </c>
      <c r="I178" s="6">
        <f>H178/$J$7</f>
        <v>0</v>
      </c>
      <c r="J178" s="6">
        <f>H178/IF($D$4=0,$D$6,IF($D$4&gt;0,$D$6))</f>
        <v>0</v>
      </c>
      <c r="K178" s="381" t="s">
        <v>120</v>
      </c>
      <c r="L178" s="381">
        <v>1690</v>
      </c>
      <c r="M178" s="381">
        <v>1140</v>
      </c>
      <c r="N178" s="237"/>
      <c r="O178" s="237"/>
      <c r="P178" s="364"/>
      <c r="Q178" s="364"/>
      <c r="R178" s="364"/>
      <c r="S178" s="364"/>
    </row>
    <row r="179" spans="1:19" s="484" customFormat="1" ht="12" customHeight="1">
      <c r="B179" s="93"/>
      <c r="C179" s="485"/>
      <c r="D179" s="93"/>
      <c r="E179" s="486"/>
      <c r="F179" s="4"/>
      <c r="G179" s="267"/>
      <c r="H179" s="7">
        <f>SUM(H173:H178)</f>
        <v>0</v>
      </c>
      <c r="I179" s="7">
        <f>H179/J7</f>
        <v>0</v>
      </c>
      <c r="J179" s="7">
        <f>H179/D6</f>
        <v>0</v>
      </c>
      <c r="K179" s="381" t="s">
        <v>413</v>
      </c>
      <c r="L179" s="381">
        <v>1550</v>
      </c>
      <c r="M179" s="381">
        <v>1450</v>
      </c>
      <c r="N179" s="237"/>
      <c r="O179" s="237"/>
    </row>
    <row r="180" spans="1:19" s="243" customFormat="1" ht="12" customHeight="1" thickBot="1">
      <c r="A180" s="155"/>
      <c r="B180" s="364"/>
      <c r="C180" s="328"/>
      <c r="D180" s="58"/>
      <c r="E180" s="58"/>
      <c r="F180" s="58"/>
      <c r="G180" s="58"/>
      <c r="H180" s="58"/>
      <c r="I180" s="131"/>
      <c r="J180" s="132"/>
      <c r="K180" s="68" t="s">
        <v>414</v>
      </c>
      <c r="L180" s="68">
        <v>1650</v>
      </c>
      <c r="M180" s="68">
        <v>1550</v>
      </c>
    </row>
    <row r="181" spans="1:19" ht="13.5" thickTop="1">
      <c r="B181" s="1155" t="s">
        <v>93</v>
      </c>
      <c r="C181" s="1156" t="s">
        <v>94</v>
      </c>
      <c r="D181" s="1157"/>
      <c r="E181" s="1157"/>
      <c r="F181" s="1157"/>
      <c r="G181" s="1157"/>
      <c r="H181" s="1157"/>
      <c r="I181" s="1157"/>
      <c r="J181" s="1158"/>
      <c r="K181" s="68" t="s">
        <v>415</v>
      </c>
      <c r="L181" s="68">
        <v>1950</v>
      </c>
      <c r="M181" s="68">
        <v>1850</v>
      </c>
    </row>
    <row r="182" spans="1:19">
      <c r="B182" s="1155"/>
      <c r="C182" s="1159"/>
      <c r="D182" s="1160"/>
      <c r="E182" s="1160"/>
      <c r="F182" s="1160"/>
      <c r="G182" s="1160"/>
      <c r="H182" s="1160"/>
      <c r="I182" s="1160"/>
      <c r="J182" s="1161"/>
    </row>
    <row r="183" spans="1:19" ht="12.75" customHeight="1">
      <c r="B183" s="1155"/>
      <c r="C183" s="1162" t="s">
        <v>91</v>
      </c>
      <c r="D183" s="1163"/>
      <c r="E183" s="1164"/>
      <c r="F183" s="1168" t="s">
        <v>92</v>
      </c>
      <c r="G183" s="1168" t="s">
        <v>142</v>
      </c>
      <c r="H183" s="1168" t="s">
        <v>416</v>
      </c>
      <c r="I183" s="1168" t="s">
        <v>417</v>
      </c>
      <c r="J183" s="1170" t="s">
        <v>152</v>
      </c>
    </row>
    <row r="184" spans="1:19">
      <c r="B184" s="1155"/>
      <c r="C184" s="1165"/>
      <c r="D184" s="1166"/>
      <c r="E184" s="1167"/>
      <c r="F184" s="1169"/>
      <c r="G184" s="1169"/>
      <c r="H184" s="1169"/>
      <c r="I184" s="1169"/>
      <c r="J184" s="1171"/>
    </row>
    <row r="185" spans="1:19">
      <c r="B185" s="487" t="s">
        <v>22</v>
      </c>
      <c r="C185" s="1172" t="s">
        <v>418</v>
      </c>
      <c r="D185" s="1101"/>
      <c r="E185" s="1150"/>
      <c r="F185" s="54">
        <f>SUM(H71:H72)</f>
        <v>0</v>
      </c>
      <c r="G185" s="50">
        <f t="shared" ref="G185:G200" si="15">F185/$H$201</f>
        <v>0</v>
      </c>
      <c r="H185" s="54">
        <f t="shared" ref="H185:H200" si="16">IF(B185="X",F185,0)</f>
        <v>0</v>
      </c>
      <c r="I185" s="488">
        <f t="shared" ref="I185:I200" si="17">H185/$J$7</f>
        <v>0</v>
      </c>
      <c r="J185" s="489">
        <f>F185/$D$5</f>
        <v>0</v>
      </c>
    </row>
    <row r="186" spans="1:19">
      <c r="B186" s="487" t="s">
        <v>22</v>
      </c>
      <c r="C186" s="1172" t="s">
        <v>419</v>
      </c>
      <c r="D186" s="1101"/>
      <c r="E186" s="1150"/>
      <c r="F186" s="54">
        <f>SUM(H74:H79)</f>
        <v>0</v>
      </c>
      <c r="G186" s="50">
        <f t="shared" si="15"/>
        <v>0</v>
      </c>
      <c r="H186" s="54">
        <f t="shared" si="16"/>
        <v>0</v>
      </c>
      <c r="I186" s="488">
        <f t="shared" si="17"/>
        <v>0</v>
      </c>
      <c r="J186" s="489"/>
    </row>
    <row r="187" spans="1:19">
      <c r="B187" s="487" t="s">
        <v>22</v>
      </c>
      <c r="C187" s="1172" t="s">
        <v>420</v>
      </c>
      <c r="D187" s="1101"/>
      <c r="E187" s="1150"/>
      <c r="F187" s="54">
        <f>SUM(H81:H85)</f>
        <v>0</v>
      </c>
      <c r="G187" s="50">
        <f t="shared" si="15"/>
        <v>0</v>
      </c>
      <c r="H187" s="54">
        <f t="shared" si="16"/>
        <v>0</v>
      </c>
      <c r="I187" s="488">
        <f t="shared" si="17"/>
        <v>0</v>
      </c>
      <c r="J187" s="489">
        <f t="shared" ref="J187:J200" si="18">F187/$D$5</f>
        <v>0</v>
      </c>
    </row>
    <row r="188" spans="1:19">
      <c r="B188" s="487" t="s">
        <v>22</v>
      </c>
      <c r="C188" s="1172" t="s">
        <v>421</v>
      </c>
      <c r="D188" s="1101"/>
      <c r="E188" s="1150"/>
      <c r="F188" s="54">
        <f>SUM(H106+H107+H109)</f>
        <v>0</v>
      </c>
      <c r="G188" s="50">
        <f t="shared" si="15"/>
        <v>0</v>
      </c>
      <c r="H188" s="54">
        <f t="shared" si="16"/>
        <v>0</v>
      </c>
      <c r="I188" s="488">
        <f t="shared" si="17"/>
        <v>0</v>
      </c>
      <c r="J188" s="489">
        <f t="shared" si="18"/>
        <v>0</v>
      </c>
    </row>
    <row r="189" spans="1:19">
      <c r="B189" s="487" t="s">
        <v>22</v>
      </c>
      <c r="C189" s="1172" t="s">
        <v>422</v>
      </c>
      <c r="D189" s="1101"/>
      <c r="E189" s="1150"/>
      <c r="F189" s="490">
        <f>H94</f>
        <v>0</v>
      </c>
      <c r="G189" s="50">
        <f t="shared" si="15"/>
        <v>0</v>
      </c>
      <c r="H189" s="54">
        <f t="shared" si="16"/>
        <v>0</v>
      </c>
      <c r="I189" s="488">
        <f t="shared" si="17"/>
        <v>0</v>
      </c>
      <c r="J189" s="489">
        <f t="shared" si="18"/>
        <v>0</v>
      </c>
    </row>
    <row r="190" spans="1:19">
      <c r="B190" s="487" t="s">
        <v>22</v>
      </c>
      <c r="C190" s="1172" t="s">
        <v>423</v>
      </c>
      <c r="D190" s="1101"/>
      <c r="E190" s="1150"/>
      <c r="F190" s="5">
        <f>H110</f>
        <v>0</v>
      </c>
      <c r="G190" s="50">
        <f t="shared" si="15"/>
        <v>0</v>
      </c>
      <c r="H190" s="54">
        <f t="shared" si="16"/>
        <v>0</v>
      </c>
      <c r="I190" s="488">
        <f t="shared" si="17"/>
        <v>0</v>
      </c>
      <c r="J190" s="489">
        <f t="shared" si="18"/>
        <v>0</v>
      </c>
    </row>
    <row r="191" spans="1:19">
      <c r="B191" s="487" t="s">
        <v>22</v>
      </c>
      <c r="C191" s="1172" t="s">
        <v>424</v>
      </c>
      <c r="D191" s="1101"/>
      <c r="E191" s="1150"/>
      <c r="F191" s="54">
        <f>SUM(H97:H102)</f>
        <v>8175.0000000000009</v>
      </c>
      <c r="G191" s="50">
        <f t="shared" si="15"/>
        <v>6.7791110649319572E-2</v>
      </c>
      <c r="H191" s="54">
        <f t="shared" si="16"/>
        <v>8175.0000000000009</v>
      </c>
      <c r="I191" s="488">
        <f t="shared" si="17"/>
        <v>15.843023255813955</v>
      </c>
      <c r="J191" s="489">
        <f t="shared" si="18"/>
        <v>250</v>
      </c>
    </row>
    <row r="192" spans="1:19">
      <c r="B192" s="487" t="s">
        <v>22</v>
      </c>
      <c r="C192" s="1172" t="s">
        <v>425</v>
      </c>
      <c r="D192" s="1101"/>
      <c r="E192" s="1150"/>
      <c r="F192" s="54">
        <f>SUM(H119+H108)</f>
        <v>12306.6</v>
      </c>
      <c r="G192" s="50">
        <f t="shared" si="15"/>
        <v>0.1020523648094087</v>
      </c>
      <c r="H192" s="54">
        <f t="shared" si="16"/>
        <v>12306.6</v>
      </c>
      <c r="I192" s="488">
        <f t="shared" si="17"/>
        <v>23.85</v>
      </c>
      <c r="J192" s="489">
        <f t="shared" si="18"/>
        <v>376.348623853211</v>
      </c>
    </row>
    <row r="193" spans="1:15">
      <c r="B193" s="487" t="s">
        <v>22</v>
      </c>
      <c r="C193" s="1172" t="s">
        <v>426</v>
      </c>
      <c r="D193" s="1101"/>
      <c r="E193" s="1150"/>
      <c r="F193" s="54">
        <f>H124</f>
        <v>1690</v>
      </c>
      <c r="G193" s="50">
        <f t="shared" si="15"/>
        <v>1.4014309112825696E-2</v>
      </c>
      <c r="H193" s="54">
        <f t="shared" si="16"/>
        <v>1690</v>
      </c>
      <c r="I193" s="488">
        <f t="shared" si="17"/>
        <v>3.2751937984496124</v>
      </c>
      <c r="J193" s="489">
        <f t="shared" si="18"/>
        <v>51.681957186544338</v>
      </c>
      <c r="L193" s="491"/>
    </row>
    <row r="194" spans="1:15">
      <c r="B194" s="487" t="s">
        <v>22</v>
      </c>
      <c r="C194" s="1172" t="s">
        <v>427</v>
      </c>
      <c r="D194" s="1101"/>
      <c r="E194" s="1150"/>
      <c r="F194" s="54">
        <f>IF(E212&gt;0,E212,E237)</f>
        <v>15419.432094</v>
      </c>
      <c r="G194" s="50">
        <f t="shared" si="15"/>
        <v>0.12786549568611905</v>
      </c>
      <c r="H194" s="54">
        <f t="shared" si="16"/>
        <v>15419.432094</v>
      </c>
      <c r="I194" s="488">
        <f t="shared" si="17"/>
        <v>29.882620337209303</v>
      </c>
      <c r="J194" s="489">
        <f t="shared" si="18"/>
        <v>471.54226587155961</v>
      </c>
    </row>
    <row r="195" spans="1:15">
      <c r="B195" s="487" t="s">
        <v>22</v>
      </c>
      <c r="C195" s="1172" t="s">
        <v>428</v>
      </c>
      <c r="D195" s="1101"/>
      <c r="E195" s="1150"/>
      <c r="F195" s="54">
        <f>SUM(H130:H132)</f>
        <v>0</v>
      </c>
      <c r="G195" s="50">
        <f t="shared" si="15"/>
        <v>0</v>
      </c>
      <c r="H195" s="54">
        <f t="shared" si="16"/>
        <v>0</v>
      </c>
      <c r="I195" s="488">
        <f t="shared" si="17"/>
        <v>0</v>
      </c>
      <c r="J195" s="489">
        <f t="shared" si="18"/>
        <v>0</v>
      </c>
    </row>
    <row r="196" spans="1:15">
      <c r="B196" s="487" t="s">
        <v>22</v>
      </c>
      <c r="C196" s="1172" t="s">
        <v>88</v>
      </c>
      <c r="D196" s="1101"/>
      <c r="E196" s="1150"/>
      <c r="F196" s="54">
        <f>SUM(H162:H166)</f>
        <v>72800</v>
      </c>
      <c r="G196" s="50">
        <f t="shared" si="15"/>
        <v>0.60369331562941453</v>
      </c>
      <c r="H196" s="54">
        <f t="shared" si="16"/>
        <v>72800</v>
      </c>
      <c r="I196" s="488">
        <f t="shared" si="17"/>
        <v>141.08527131782947</v>
      </c>
      <c r="J196" s="489">
        <f t="shared" si="18"/>
        <v>2226.2996941896022</v>
      </c>
    </row>
    <row r="197" spans="1:15">
      <c r="B197" s="487" t="s">
        <v>22</v>
      </c>
      <c r="C197" s="1178" t="s">
        <v>401</v>
      </c>
      <c r="D197" s="1179"/>
      <c r="E197" s="1180"/>
      <c r="F197" s="54">
        <f>H169</f>
        <v>0</v>
      </c>
      <c r="G197" s="50">
        <f t="shared" si="15"/>
        <v>0</v>
      </c>
      <c r="H197" s="54">
        <f t="shared" si="16"/>
        <v>0</v>
      </c>
      <c r="I197" s="488">
        <f t="shared" si="17"/>
        <v>0</v>
      </c>
      <c r="J197" s="489">
        <f t="shared" si="18"/>
        <v>0</v>
      </c>
    </row>
    <row r="198" spans="1:15">
      <c r="B198" s="487" t="s">
        <v>22</v>
      </c>
      <c r="C198" s="1172" t="s">
        <v>429</v>
      </c>
      <c r="D198" s="1101"/>
      <c r="E198" s="1150"/>
      <c r="F198" s="54">
        <f>H161+H133</f>
        <v>10200</v>
      </c>
      <c r="G198" s="50">
        <f t="shared" si="15"/>
        <v>8.4583404112912486E-2</v>
      </c>
      <c r="H198" s="54">
        <f t="shared" si="16"/>
        <v>10200</v>
      </c>
      <c r="I198" s="488">
        <f t="shared" si="17"/>
        <v>19.767441860465116</v>
      </c>
      <c r="J198" s="489">
        <f t="shared" si="18"/>
        <v>311.92660550458714</v>
      </c>
    </row>
    <row r="199" spans="1:15">
      <c r="B199" s="487" t="s">
        <v>22</v>
      </c>
      <c r="C199" s="1172" t="s">
        <v>89</v>
      </c>
      <c r="D199" s="1101"/>
      <c r="E199" s="1150"/>
      <c r="F199" s="54">
        <f>H176</f>
        <v>0</v>
      </c>
      <c r="G199" s="50">
        <f t="shared" si="15"/>
        <v>0</v>
      </c>
      <c r="H199" s="54">
        <f t="shared" si="16"/>
        <v>0</v>
      </c>
      <c r="I199" s="488">
        <f t="shared" si="17"/>
        <v>0</v>
      </c>
      <c r="J199" s="489">
        <f t="shared" si="18"/>
        <v>0</v>
      </c>
    </row>
    <row r="200" spans="1:15" ht="13.5" thickBot="1">
      <c r="B200" s="487" t="s">
        <v>22</v>
      </c>
      <c r="C200" s="1172" t="s">
        <v>90</v>
      </c>
      <c r="D200" s="1101"/>
      <c r="E200" s="1150"/>
      <c r="F200" s="5">
        <f>SUM(H173:H175,H177:H178)</f>
        <v>0</v>
      </c>
      <c r="G200" s="50">
        <f t="shared" si="15"/>
        <v>0</v>
      </c>
      <c r="H200" s="54">
        <f t="shared" si="16"/>
        <v>0</v>
      </c>
      <c r="I200" s="488">
        <f t="shared" si="17"/>
        <v>0</v>
      </c>
      <c r="J200" s="489">
        <f t="shared" si="18"/>
        <v>0</v>
      </c>
      <c r="L200" s="491"/>
    </row>
    <row r="201" spans="1:15" ht="13.5" thickTop="1">
      <c r="C201" s="492"/>
      <c r="D201" s="227"/>
      <c r="E201" s="1181">
        <f>SUM(F185:F200)</f>
        <v>120591.03209399999</v>
      </c>
      <c r="F201" s="1182"/>
      <c r="G201" s="493"/>
      <c r="H201" s="494">
        <f>SUM(H185:H200)</f>
        <v>120591.03209399999</v>
      </c>
      <c r="I201" s="494">
        <f>SUM(I185:I200)</f>
        <v>233.70355056976746</v>
      </c>
      <c r="J201" s="495">
        <f>SUM(J185:J200)</f>
        <v>3687.7991466055046</v>
      </c>
      <c r="N201" s="58"/>
      <c r="O201" s="58"/>
    </row>
    <row r="202" spans="1:15" ht="13.5" thickBot="1">
      <c r="C202" s="1183" t="s">
        <v>430</v>
      </c>
      <c r="D202" s="1184"/>
      <c r="E202" s="496"/>
      <c r="F202" s="497"/>
      <c r="G202" s="493"/>
      <c r="H202" s="498">
        <f>H201*E202</f>
        <v>0</v>
      </c>
      <c r="I202" s="498"/>
      <c r="J202" s="499"/>
      <c r="N202" s="58"/>
      <c r="O202" s="58"/>
    </row>
    <row r="203" spans="1:15" ht="14.25" thickTop="1" thickBot="1">
      <c r="C203" s="500"/>
      <c r="D203" s="155"/>
      <c r="E203" s="155"/>
      <c r="F203" s="155"/>
      <c r="G203" s="501">
        <f>SUM(G181:G201)</f>
        <v>1</v>
      </c>
      <c r="H203" s="502">
        <f>SUM(H201:H202)</f>
        <v>120591.03209399999</v>
      </c>
      <c r="I203" s="498">
        <f>I201</f>
        <v>233.70355056976746</v>
      </c>
      <c r="J203" s="499">
        <f>J201</f>
        <v>3687.7991466055046</v>
      </c>
      <c r="N203" s="58"/>
      <c r="O203" s="58"/>
    </row>
    <row r="204" spans="1:15" s="469" customFormat="1" ht="18" customHeight="1" thickTop="1" thickBot="1">
      <c r="A204" s="243"/>
      <c r="B204" s="243"/>
      <c r="C204" s="1173" t="s">
        <v>72</v>
      </c>
      <c r="D204" s="1173"/>
      <c r="E204" s="1173"/>
      <c r="F204" s="1173"/>
      <c r="G204" s="1173" t="s">
        <v>72</v>
      </c>
      <c r="H204" s="1173"/>
      <c r="I204" s="1173"/>
      <c r="J204" s="1173"/>
    </row>
    <row r="205" spans="1:15" s="505" customFormat="1" ht="18" customHeight="1" thickTop="1" thickBot="1">
      <c r="A205" s="231"/>
      <c r="B205" s="231"/>
      <c r="C205" s="1174" t="s">
        <v>71</v>
      </c>
      <c r="D205" s="1174"/>
      <c r="E205" s="1175">
        <f>H203</f>
        <v>120591.03209399999</v>
      </c>
      <c r="F205" s="1175"/>
      <c r="G205" s="1176" t="s">
        <v>150</v>
      </c>
      <c r="H205" s="1176"/>
      <c r="I205" s="1176"/>
      <c r="J205" s="503">
        <f>SUM(F196:F200)/G7</f>
        <v>42.982910409114446</v>
      </c>
      <c r="K205" s="504"/>
    </row>
    <row r="206" spans="1:15" ht="18" customHeight="1" thickTop="1" thickBot="1">
      <c r="C206" s="506" t="s">
        <v>73</v>
      </c>
      <c r="D206" s="506" t="s">
        <v>151</v>
      </c>
      <c r="E206" s="506" t="str">
        <f>IF($D$4&gt;0,"$/SQ. KM","$/KM")</f>
        <v>$/KM</v>
      </c>
      <c r="F206" s="506" t="str">
        <f>IF($D$4&gt;0,"$/SQ. MILE","$/MILE")</f>
        <v>$/MILE</v>
      </c>
      <c r="G206" s="1177" t="s">
        <v>146</v>
      </c>
      <c r="H206" s="1177"/>
      <c r="I206" s="1177"/>
      <c r="J206" s="507">
        <f>E205/G7</f>
        <v>62.45004251372346</v>
      </c>
      <c r="N206" s="58"/>
      <c r="O206" s="58"/>
    </row>
    <row r="207" spans="1:15" ht="18" customHeight="1" thickTop="1" thickBot="1">
      <c r="C207" s="506" t="s">
        <v>74</v>
      </c>
      <c r="D207" s="508">
        <f>E205/$G$7</f>
        <v>62.45004251372346</v>
      </c>
      <c r="E207" s="508">
        <f>IF($D$4=0,E205/$D$6,E205/$D$7)</f>
        <v>3687.7991466055041</v>
      </c>
      <c r="F207" s="508">
        <f>IF($D$4&gt;0,$E$207*2.59,$E$207*1.609)</f>
        <v>5933.6688268882563</v>
      </c>
      <c r="G207" s="1185" t="s">
        <v>149</v>
      </c>
      <c r="H207" s="1185"/>
      <c r="I207" s="1185"/>
      <c r="J207" s="507">
        <f>E205/J7</f>
        <v>233.70355056976743</v>
      </c>
    </row>
    <row r="208" spans="1:15" ht="18" customHeight="1" thickTop="1" thickBot="1">
      <c r="C208" s="506" t="s">
        <v>75</v>
      </c>
      <c r="D208" s="506" t="s">
        <v>151</v>
      </c>
      <c r="E208" s="506" t="str">
        <f>IF($D$4&gt;0,"$/SQ. KM","$/KM")</f>
        <v>$/KM</v>
      </c>
      <c r="F208" s="506" t="str">
        <f>IF($D$4&gt;0,"$/SQ. MILE","$/MILE")</f>
        <v>$/MILE</v>
      </c>
      <c r="G208" s="1186" t="s">
        <v>153</v>
      </c>
      <c r="H208" s="1186"/>
      <c r="I208" s="509">
        <f>F162</f>
        <v>4</v>
      </c>
      <c r="J208" s="510"/>
      <c r="K208" s="511"/>
    </row>
    <row r="209" spans="1:28" ht="18" customHeight="1" thickTop="1" thickBot="1">
      <c r="C209" s="512"/>
      <c r="D209" s="508">
        <f>D207*$C$209</f>
        <v>0</v>
      </c>
      <c r="E209" s="508">
        <f>E207*$C$209</f>
        <v>0</v>
      </c>
      <c r="F209" s="508">
        <f>F207*$C$209</f>
        <v>0</v>
      </c>
      <c r="G209" s="1187" t="s">
        <v>154</v>
      </c>
      <c r="H209" s="1187"/>
      <c r="I209" s="1188">
        <f>(G38+G40+F51)*F162</f>
        <v>19200</v>
      </c>
      <c r="J209" s="1188"/>
      <c r="K209" s="513"/>
    </row>
    <row r="210" spans="1:28" s="231" customFormat="1" ht="13.5" thickTop="1">
      <c r="C210" s="514"/>
      <c r="D210" s="513"/>
      <c r="E210" s="513"/>
      <c r="F210" s="513"/>
      <c r="G210" s="515"/>
      <c r="H210" s="513"/>
      <c r="I210" s="513"/>
      <c r="J210" s="513"/>
      <c r="K210" s="513"/>
      <c r="N210" s="237"/>
      <c r="O210" s="237"/>
    </row>
    <row r="211" spans="1:28" ht="6" customHeight="1" thickBot="1">
      <c r="A211" s="227"/>
      <c r="B211" s="227"/>
      <c r="C211" s="130"/>
      <c r="D211" s="379"/>
      <c r="E211" s="516"/>
      <c r="F211" s="517"/>
      <c r="G211" s="518"/>
      <c r="H211" s="516"/>
      <c r="I211" s="519"/>
      <c r="J211" s="519"/>
      <c r="K211" s="227"/>
      <c r="M211" s="63"/>
      <c r="P211" s="227"/>
      <c r="Q211" s="227"/>
      <c r="R211" s="520"/>
      <c r="S211" s="155"/>
      <c r="T211" s="363"/>
    </row>
    <row r="212" spans="1:28" ht="18.75" customHeight="1" thickBot="1">
      <c r="A212" s="1189" t="s">
        <v>431</v>
      </c>
      <c r="B212" s="1190"/>
      <c r="C212" s="521"/>
      <c r="D212" s="522" t="s">
        <v>432</v>
      </c>
      <c r="E212" s="1195"/>
      <c r="F212" s="1196"/>
      <c r="G212" s="523" t="s">
        <v>433</v>
      </c>
      <c r="H212" s="524"/>
      <c r="I212" s="524"/>
      <c r="J212" s="525"/>
      <c r="K212" s="526" t="s">
        <v>434</v>
      </c>
      <c r="L212" s="527"/>
      <c r="M212" s="528" t="s">
        <v>435</v>
      </c>
      <c r="N212" s="527"/>
      <c r="O212" s="528" t="s">
        <v>436</v>
      </c>
      <c r="P212" s="527"/>
      <c r="Q212" s="529" t="s">
        <v>437</v>
      </c>
      <c r="R212" s="530" t="s">
        <v>438</v>
      </c>
      <c r="S212" s="531">
        <v>210</v>
      </c>
      <c r="T212" s="532" t="s">
        <v>439</v>
      </c>
      <c r="V212" s="227"/>
      <c r="W212" s="533"/>
      <c r="X212" s="533"/>
      <c r="Y212" s="533"/>
      <c r="Z212" s="533"/>
      <c r="AA212" s="533"/>
      <c r="AB212" s="534"/>
    </row>
    <row r="213" spans="1:28" s="68" customFormat="1" thickBot="1">
      <c r="A213" s="1191"/>
      <c r="B213" s="1192"/>
      <c r="C213" s="155"/>
      <c r="D213" s="155"/>
      <c r="E213" s="155"/>
      <c r="F213" s="155"/>
      <c r="G213" s="535"/>
      <c r="H213" s="536" t="s">
        <v>440</v>
      </c>
      <c r="I213" s="537">
        <v>0.03</v>
      </c>
      <c r="J213" s="538"/>
      <c r="K213" s="539">
        <v>8.4700000000000006</v>
      </c>
      <c r="L213" s="540" t="b">
        <v>0</v>
      </c>
      <c r="M213" s="541" t="b">
        <v>0</v>
      </c>
      <c r="N213" s="540" t="b">
        <v>0</v>
      </c>
      <c r="O213" s="541" t="b">
        <v>0</v>
      </c>
      <c r="P213" s="540" t="b">
        <v>0</v>
      </c>
      <c r="Q213" s="542" t="s">
        <v>441</v>
      </c>
      <c r="R213" s="543" t="s">
        <v>442</v>
      </c>
      <c r="S213" s="544">
        <v>1.95</v>
      </c>
      <c r="T213" s="545">
        <v>58</v>
      </c>
      <c r="V213" s="155"/>
      <c r="W213" s="155"/>
      <c r="X213" s="155"/>
      <c r="Y213" s="155"/>
      <c r="Z213" s="155"/>
      <c r="AA213" s="155"/>
      <c r="AB213" s="155"/>
    </row>
    <row r="214" spans="1:28" s="68" customFormat="1" thickBot="1">
      <c r="A214" s="1191"/>
      <c r="B214" s="1192"/>
      <c r="C214" s="435" t="s">
        <v>443</v>
      </c>
      <c r="D214" s="546" t="s">
        <v>156</v>
      </c>
      <c r="E214" s="547" t="s">
        <v>444</v>
      </c>
      <c r="F214" s="267"/>
      <c r="G214" s="535"/>
      <c r="H214" s="414" t="s">
        <v>445</v>
      </c>
      <c r="I214" s="537">
        <v>7.0000000000000007E-2</v>
      </c>
      <c r="J214" s="538"/>
      <c r="K214" s="539">
        <v>0</v>
      </c>
      <c r="L214" s="540" t="b">
        <v>0</v>
      </c>
      <c r="M214" s="541" t="b">
        <v>0</v>
      </c>
      <c r="N214" s="540" t="b">
        <v>0</v>
      </c>
      <c r="O214" s="541" t="b">
        <v>0</v>
      </c>
      <c r="P214" s="540" t="b">
        <v>0</v>
      </c>
      <c r="Q214" s="542" t="s">
        <v>446</v>
      </c>
      <c r="R214" s="543" t="s">
        <v>442</v>
      </c>
      <c r="S214" s="544">
        <v>2.11</v>
      </c>
      <c r="T214" s="545">
        <v>58</v>
      </c>
      <c r="V214" s="155"/>
      <c r="W214" s="155"/>
      <c r="X214" s="155"/>
      <c r="Y214" s="155"/>
      <c r="Z214" s="155"/>
      <c r="AA214" s="155"/>
      <c r="AB214" s="155"/>
    </row>
    <row r="215" spans="1:28" s="68" customFormat="1" thickBot="1">
      <c r="A215" s="1191"/>
      <c r="B215" s="1192"/>
      <c r="C215" s="548" t="s">
        <v>447</v>
      </c>
      <c r="D215" s="549" t="s">
        <v>434</v>
      </c>
      <c r="E215" s="547" t="s">
        <v>448</v>
      </c>
      <c r="F215" s="267"/>
      <c r="G215" s="550"/>
      <c r="H215" s="414" t="s">
        <v>449</v>
      </c>
      <c r="I215" s="551">
        <v>7.0000000000000007E-2</v>
      </c>
      <c r="J215" s="538"/>
      <c r="K215" s="552">
        <v>0</v>
      </c>
      <c r="L215" s="553" t="b">
        <v>0</v>
      </c>
      <c r="M215" s="554" t="b">
        <v>0</v>
      </c>
      <c r="N215" s="553" t="b">
        <v>0</v>
      </c>
      <c r="O215" s="554" t="b">
        <v>0</v>
      </c>
      <c r="P215" s="553" t="b">
        <v>0</v>
      </c>
      <c r="Q215" s="555" t="s">
        <v>450</v>
      </c>
      <c r="R215" s="556" t="s">
        <v>442</v>
      </c>
      <c r="S215" s="557">
        <v>1.4</v>
      </c>
      <c r="T215" s="545">
        <v>63</v>
      </c>
    </row>
    <row r="216" spans="1:28" s="566" customFormat="1" ht="18" customHeight="1" thickBot="1">
      <c r="A216" s="1191"/>
      <c r="B216" s="1192"/>
      <c r="C216" s="558" t="s">
        <v>388</v>
      </c>
      <c r="D216" s="559"/>
      <c r="E216" s="560" t="s">
        <v>451</v>
      </c>
      <c r="F216" s="561"/>
      <c r="G216" s="1197" t="s">
        <v>452</v>
      </c>
      <c r="H216" s="1198"/>
      <c r="I216" s="1198"/>
      <c r="J216" s="1199"/>
      <c r="K216" s="562" t="s">
        <v>453</v>
      </c>
      <c r="L216" s="562"/>
      <c r="M216" s="562"/>
      <c r="N216" s="563"/>
      <c r="O216" s="562" t="s">
        <v>453</v>
      </c>
      <c r="P216" s="562"/>
      <c r="Q216" s="562"/>
      <c r="R216" s="563"/>
      <c r="S216" s="564" t="s">
        <v>454</v>
      </c>
      <c r="T216" s="565"/>
    </row>
    <row r="217" spans="1:28" s="381" customFormat="1" thickBot="1">
      <c r="A217" s="1191"/>
      <c r="B217" s="1192"/>
      <c r="C217" s="567">
        <f>$H$8</f>
        <v>0.5</v>
      </c>
      <c r="D217" s="568"/>
      <c r="E217" s="569">
        <f>($J$7*$D$8)*H8</f>
        <v>258</v>
      </c>
      <c r="F217" s="267"/>
      <c r="G217" s="570"/>
      <c r="H217" s="267"/>
      <c r="I217" s="435" t="s">
        <v>455</v>
      </c>
      <c r="J217" s="571">
        <v>0</v>
      </c>
      <c r="K217" s="572" t="s">
        <v>456</v>
      </c>
      <c r="L217" s="573" t="s">
        <v>457</v>
      </c>
      <c r="M217" s="574" t="s">
        <v>456</v>
      </c>
      <c r="N217" s="573" t="s">
        <v>458</v>
      </c>
      <c r="O217" s="574" t="s">
        <v>456</v>
      </c>
      <c r="P217" s="573" t="s">
        <v>457</v>
      </c>
      <c r="Q217" s="574" t="s">
        <v>456</v>
      </c>
      <c r="R217" s="573" t="s">
        <v>458</v>
      </c>
      <c r="S217" s="574" t="s">
        <v>459</v>
      </c>
      <c r="T217" s="574" t="s">
        <v>460</v>
      </c>
    </row>
    <row r="218" spans="1:28" s="381" customFormat="1" ht="12">
      <c r="A218" s="1191"/>
      <c r="B218" s="1192"/>
      <c r="C218" s="575" t="s">
        <v>456</v>
      </c>
      <c r="D218" s="576" t="s">
        <v>31</v>
      </c>
      <c r="E218" s="576" t="s">
        <v>461</v>
      </c>
      <c r="F218" s="576" t="s">
        <v>41</v>
      </c>
      <c r="G218" s="155"/>
      <c r="H218" s="577" t="s">
        <v>462</v>
      </c>
      <c r="I218" s="578"/>
      <c r="J218" s="538"/>
      <c r="K218" s="579">
        <v>0.25</v>
      </c>
      <c r="L218" s="580">
        <v>0</v>
      </c>
      <c r="M218" s="581">
        <v>0.25</v>
      </c>
      <c r="N218" s="582">
        <v>0</v>
      </c>
      <c r="O218" s="579">
        <v>17</v>
      </c>
      <c r="P218" s="580">
        <v>8</v>
      </c>
      <c r="Q218" s="581">
        <v>17</v>
      </c>
      <c r="R218" s="582">
        <v>1</v>
      </c>
      <c r="S218" s="583">
        <f>IF($J$8&lt;=3,T218,0)</f>
        <v>0</v>
      </c>
      <c r="T218" s="584">
        <v>3</v>
      </c>
    </row>
    <row r="219" spans="1:28" s="381" customFormat="1">
      <c r="A219" s="1191"/>
      <c r="B219" s="1192"/>
      <c r="C219" s="585">
        <f>IF(H8=1.5,0.5,IF(C217&gt;1,0,C217))</f>
        <v>0.5</v>
      </c>
      <c r="D219" s="586">
        <f>IF($H$8=1.5,E217/3,IF(C217&gt;0.5,0,E217))</f>
        <v>258</v>
      </c>
      <c r="E219" s="587">
        <v>12.1</v>
      </c>
      <c r="F219" s="5">
        <f>D219*E219</f>
        <v>3121.7999999999997</v>
      </c>
      <c r="G219" s="227"/>
      <c r="H219" s="588" t="s">
        <v>463</v>
      </c>
      <c r="I219" s="589"/>
      <c r="J219" s="590"/>
      <c r="K219" s="579">
        <v>0.5</v>
      </c>
      <c r="L219" s="580">
        <v>0</v>
      </c>
      <c r="M219" s="581">
        <v>0.5</v>
      </c>
      <c r="N219" s="582">
        <v>0</v>
      </c>
      <c r="O219" s="579">
        <v>18</v>
      </c>
      <c r="P219" s="580">
        <v>9</v>
      </c>
      <c r="Q219" s="581">
        <v>18</v>
      </c>
      <c r="R219" s="582">
        <v>0</v>
      </c>
      <c r="S219" s="583">
        <f>IF($J$8&gt;=3,T219,0)</f>
        <v>7</v>
      </c>
      <c r="T219" s="584">
        <v>7</v>
      </c>
    </row>
    <row r="220" spans="1:28" s="381" customFormat="1">
      <c r="A220" s="1191"/>
      <c r="B220" s="1192"/>
      <c r="C220" s="585">
        <v>1</v>
      </c>
      <c r="D220" s="586">
        <f>IF($H$8&gt;0.5,(E217/C217)*LOOKUP($H$8,M218:N237),0)</f>
        <v>0</v>
      </c>
      <c r="E220" s="587">
        <v>11</v>
      </c>
      <c r="F220" s="5">
        <f>D220*E220</f>
        <v>0</v>
      </c>
      <c r="G220" s="155"/>
      <c r="H220" s="591" t="s">
        <v>464</v>
      </c>
      <c r="I220" s="592"/>
      <c r="J220" s="329"/>
      <c r="K220" s="579">
        <v>1</v>
      </c>
      <c r="L220" s="580">
        <v>0</v>
      </c>
      <c r="M220" s="581">
        <v>1</v>
      </c>
      <c r="N220" s="582">
        <v>1</v>
      </c>
      <c r="O220" s="579">
        <v>19</v>
      </c>
      <c r="P220" s="580">
        <v>9</v>
      </c>
      <c r="Q220" s="581">
        <v>19</v>
      </c>
      <c r="R220" s="582">
        <v>1</v>
      </c>
      <c r="S220" s="583">
        <f>IF($J$8&gt;=7,T220,0)</f>
        <v>10</v>
      </c>
      <c r="T220" s="584">
        <v>10</v>
      </c>
    </row>
    <row r="221" spans="1:28" s="381" customFormat="1" ht="12">
      <c r="A221" s="1191"/>
      <c r="B221" s="1192"/>
      <c r="C221" s="593">
        <v>2</v>
      </c>
      <c r="D221" s="586">
        <f>IF(H8=1.5,0,IF($H$8&gt;0.5,E217-D220,0))</f>
        <v>0</v>
      </c>
      <c r="E221" s="587">
        <v>11</v>
      </c>
      <c r="F221" s="5">
        <f>D221*E221</f>
        <v>0</v>
      </c>
      <c r="G221" s="155"/>
      <c r="H221" s="594" t="s">
        <v>441</v>
      </c>
      <c r="I221" s="595" t="s">
        <v>22</v>
      </c>
      <c r="J221" s="589" t="s">
        <v>465</v>
      </c>
      <c r="K221" s="579">
        <v>1.5</v>
      </c>
      <c r="L221" s="580">
        <v>0</v>
      </c>
      <c r="M221" s="581">
        <v>1.5</v>
      </c>
      <c r="N221" s="582">
        <v>1</v>
      </c>
      <c r="O221" s="596">
        <v>20</v>
      </c>
      <c r="P221" s="580">
        <v>10</v>
      </c>
      <c r="Q221" s="581">
        <v>20</v>
      </c>
      <c r="R221" s="582">
        <v>0</v>
      </c>
      <c r="S221" s="583">
        <f>IF($J$8&gt;=10,T221,0)</f>
        <v>0</v>
      </c>
      <c r="T221" s="584">
        <v>13</v>
      </c>
    </row>
    <row r="222" spans="1:28" s="155" customFormat="1" ht="12">
      <c r="A222" s="1191"/>
      <c r="B222" s="1192"/>
      <c r="C222" s="597" t="s">
        <v>466</v>
      </c>
      <c r="G222" s="590"/>
      <c r="H222" s="568" t="s">
        <v>467</v>
      </c>
      <c r="I222" s="316"/>
      <c r="J222" s="590" t="s">
        <v>468</v>
      </c>
      <c r="K222" s="579">
        <v>2</v>
      </c>
      <c r="L222" s="580">
        <v>1</v>
      </c>
      <c r="M222" s="581">
        <v>2</v>
      </c>
      <c r="N222" s="582">
        <v>0</v>
      </c>
      <c r="O222" s="596">
        <v>21</v>
      </c>
      <c r="P222" s="580">
        <v>10</v>
      </c>
      <c r="Q222" s="581">
        <v>21</v>
      </c>
      <c r="R222" s="582">
        <v>1</v>
      </c>
      <c r="S222" s="583">
        <f>IF($J$8&gt;=13,T222,0)</f>
        <v>0</v>
      </c>
      <c r="T222" s="584">
        <v>16</v>
      </c>
    </row>
    <row r="223" spans="1:28">
      <c r="A223" s="1191"/>
      <c r="B223" s="1192"/>
      <c r="C223" s="598">
        <f>MAX(S218:S226)</f>
        <v>10</v>
      </c>
      <c r="D223" s="586">
        <f>IF(H9="YES",($D$8*J7)*2,IF(H9="NO",($D$8*J7)))</f>
        <v>516</v>
      </c>
      <c r="E223" s="587">
        <v>11.6</v>
      </c>
      <c r="F223" s="5">
        <f>D223*E223</f>
        <v>5985.5999999999995</v>
      </c>
      <c r="G223" s="155"/>
      <c r="H223" s="333" t="s">
        <v>450</v>
      </c>
      <c r="I223" s="599"/>
      <c r="J223" s="592" t="s">
        <v>469</v>
      </c>
      <c r="K223" s="579">
        <v>3</v>
      </c>
      <c r="L223" s="580">
        <v>2</v>
      </c>
      <c r="M223" s="581">
        <v>3</v>
      </c>
      <c r="N223" s="582">
        <v>1</v>
      </c>
      <c r="O223" s="596">
        <v>22</v>
      </c>
      <c r="P223" s="580">
        <v>11</v>
      </c>
      <c r="Q223" s="581">
        <v>22</v>
      </c>
      <c r="R223" s="582">
        <v>0</v>
      </c>
      <c r="S223" s="583">
        <f>IF($J$8&gt;=16,T223,0)</f>
        <v>0</v>
      </c>
      <c r="T223" s="584">
        <v>19</v>
      </c>
    </row>
    <row r="224" spans="1:28" s="68" customFormat="1" ht="12">
      <c r="A224" s="1191"/>
      <c r="B224" s="1192"/>
      <c r="C224" s="600" t="s">
        <v>470</v>
      </c>
      <c r="D224" s="534" t="s">
        <v>471</v>
      </c>
      <c r="E224" s="534" t="s">
        <v>472</v>
      </c>
      <c r="F224" s="521"/>
      <c r="G224" s="155"/>
      <c r="H224" s="601" t="s">
        <v>473</v>
      </c>
      <c r="I224" s="378">
        <v>100</v>
      </c>
      <c r="J224" s="590"/>
      <c r="K224" s="579">
        <v>4</v>
      </c>
      <c r="L224" s="580">
        <v>2</v>
      </c>
      <c r="M224" s="581">
        <v>4</v>
      </c>
      <c r="N224" s="582">
        <v>0</v>
      </c>
      <c r="O224" s="596">
        <v>23</v>
      </c>
      <c r="P224" s="580">
        <v>11</v>
      </c>
      <c r="Q224" s="581">
        <v>23</v>
      </c>
      <c r="R224" s="582">
        <v>1</v>
      </c>
      <c r="S224" s="583">
        <f>IF($J$8&gt;=19,T224,0)</f>
        <v>0</v>
      </c>
      <c r="T224" s="584">
        <v>25</v>
      </c>
    </row>
    <row r="225" spans="1:20" s="68" customFormat="1" thickBot="1">
      <c r="A225" s="1191"/>
      <c r="B225" s="1192"/>
      <c r="C225" s="602">
        <v>50</v>
      </c>
      <c r="D225" s="316"/>
      <c r="E225" s="603"/>
      <c r="F225" s="155"/>
      <c r="G225" s="590"/>
      <c r="H225" s="114" t="s">
        <v>332</v>
      </c>
      <c r="I225" s="604" t="s">
        <v>334</v>
      </c>
      <c r="J225" s="605"/>
      <c r="K225" s="579">
        <v>5</v>
      </c>
      <c r="L225" s="580">
        <v>2</v>
      </c>
      <c r="M225" s="581">
        <v>5</v>
      </c>
      <c r="N225" s="582">
        <v>1</v>
      </c>
      <c r="O225" s="596">
        <v>24</v>
      </c>
      <c r="P225" s="580">
        <v>12</v>
      </c>
      <c r="Q225" s="581">
        <v>24</v>
      </c>
      <c r="R225" s="582">
        <v>0</v>
      </c>
      <c r="S225" s="606">
        <f>IF($J$8&gt;=25,T225,0)</f>
        <v>0</v>
      </c>
      <c r="T225" s="607">
        <v>35</v>
      </c>
    </row>
    <row r="226" spans="1:20" s="68" customFormat="1" thickBot="1">
      <c r="A226" s="1191"/>
      <c r="B226" s="1192"/>
      <c r="C226" s="414" t="s">
        <v>474</v>
      </c>
      <c r="D226" s="586">
        <f>ROUNDUP(((((E225*1000)/J5)*D8)*D225)/300,-0.1)</f>
        <v>0</v>
      </c>
      <c r="E226" s="587">
        <v>281</v>
      </c>
      <c r="F226" s="608">
        <f>E226*D226</f>
        <v>0</v>
      </c>
      <c r="G226" s="609" t="s">
        <v>475</v>
      </c>
      <c r="H226" s="610">
        <v>2</v>
      </c>
      <c r="I226" s="611">
        <v>440</v>
      </c>
      <c r="J226" s="612">
        <f>(H226*I226)</f>
        <v>880</v>
      </c>
      <c r="K226" s="579">
        <v>6</v>
      </c>
      <c r="L226" s="580">
        <v>3</v>
      </c>
      <c r="M226" s="581">
        <v>6</v>
      </c>
      <c r="N226" s="582">
        <v>0</v>
      </c>
      <c r="O226" s="596">
        <v>25</v>
      </c>
      <c r="P226" s="580">
        <v>12</v>
      </c>
      <c r="Q226" s="581">
        <v>25</v>
      </c>
      <c r="R226" s="582">
        <v>1</v>
      </c>
      <c r="S226" s="606">
        <f>IF($J$8&gt;=35,T226,0)</f>
        <v>0</v>
      </c>
      <c r="T226" s="607">
        <v>45</v>
      </c>
    </row>
    <row r="227" spans="1:20" s="68" customFormat="1" ht="12">
      <c r="A227" s="1191"/>
      <c r="B227" s="1192"/>
      <c r="C227" s="613" t="s">
        <v>476</v>
      </c>
      <c r="D227" s="614"/>
      <c r="E227" s="155"/>
      <c r="F227" s="155"/>
      <c r="G227" s="615" t="s">
        <v>477</v>
      </c>
      <c r="H227" s="616"/>
      <c r="I227" s="617"/>
      <c r="J227" s="618">
        <f>(H227*I227)</f>
        <v>0</v>
      </c>
      <c r="K227" s="579">
        <v>7</v>
      </c>
      <c r="L227" s="580">
        <v>3</v>
      </c>
      <c r="M227" s="581">
        <v>7</v>
      </c>
      <c r="N227" s="582">
        <v>1</v>
      </c>
      <c r="O227" s="596">
        <v>26</v>
      </c>
      <c r="P227" s="580">
        <v>13</v>
      </c>
      <c r="Q227" s="581">
        <v>26</v>
      </c>
      <c r="R227" s="582">
        <v>0</v>
      </c>
    </row>
    <row r="228" spans="1:20" s="68" customFormat="1" ht="12">
      <c r="A228" s="1191"/>
      <c r="B228" s="1192"/>
      <c r="C228" s="619" t="s">
        <v>478</v>
      </c>
      <c r="D228" s="586">
        <f>IF(J9="YES",ROUNDUP(J7*$D$8,-2)*2,IF(J9="NO",ROUNDUP(J7*$D$8,-2),0))</f>
        <v>600</v>
      </c>
      <c r="E228" s="587">
        <v>1.7</v>
      </c>
      <c r="F228" s="608">
        <f>D228*E228</f>
        <v>1020</v>
      </c>
      <c r="G228" s="609" t="s">
        <v>479</v>
      </c>
      <c r="H228" s="620">
        <f>(H226*I224)*2</f>
        <v>400</v>
      </c>
      <c r="I228" s="611">
        <v>2.6</v>
      </c>
      <c r="J228" s="612">
        <f>(H228*I228)</f>
        <v>1040</v>
      </c>
      <c r="K228" s="579">
        <v>8</v>
      </c>
      <c r="L228" s="580">
        <v>4</v>
      </c>
      <c r="M228" s="581">
        <v>8</v>
      </c>
      <c r="N228" s="582">
        <v>0</v>
      </c>
      <c r="O228" s="596">
        <v>27</v>
      </c>
      <c r="P228" s="580">
        <v>13</v>
      </c>
      <c r="Q228" s="581">
        <v>27</v>
      </c>
      <c r="R228" s="582">
        <v>1</v>
      </c>
    </row>
    <row r="229" spans="1:20" s="68" customFormat="1" ht="12">
      <c r="A229" s="1191"/>
      <c r="B229" s="1192"/>
      <c r="C229" s="621" t="s">
        <v>480</v>
      </c>
      <c r="D229" s="568"/>
      <c r="E229" s="568"/>
      <c r="F229" s="614"/>
      <c r="G229" s="622" t="s">
        <v>481</v>
      </c>
      <c r="H229" s="610">
        <v>2</v>
      </c>
      <c r="I229" s="611">
        <v>165</v>
      </c>
      <c r="J229" s="623">
        <f>(H229*I229)</f>
        <v>330</v>
      </c>
      <c r="K229" s="579">
        <v>9</v>
      </c>
      <c r="L229" s="580">
        <v>4</v>
      </c>
      <c r="M229" s="581">
        <v>9</v>
      </c>
      <c r="N229" s="582">
        <v>1</v>
      </c>
      <c r="O229" s="596">
        <v>28</v>
      </c>
      <c r="P229" s="580">
        <v>14</v>
      </c>
      <c r="Q229" s="581">
        <v>28</v>
      </c>
      <c r="R229" s="582">
        <v>0</v>
      </c>
    </row>
    <row r="230" spans="1:20" s="68" customFormat="1">
      <c r="A230" s="1191"/>
      <c r="B230" s="1192"/>
      <c r="C230" s="597" t="str">
        <f>IF($D$215="paper","50MM",IF($D$215="PLASTIC","60MM",IF($D$215="PENTOLITE","60MM","???")))</f>
        <v>50MM</v>
      </c>
      <c r="D230" s="586">
        <f>ROUNDUP(J7*$D$8,-2)</f>
        <v>600</v>
      </c>
      <c r="E230" s="587">
        <v>0.75</v>
      </c>
      <c r="F230" s="5">
        <f>D230*E230</f>
        <v>450</v>
      </c>
      <c r="G230" s="267"/>
      <c r="H230" s="155"/>
      <c r="I230" s="624" t="s">
        <v>482</v>
      </c>
      <c r="J230" s="490">
        <f>SUM(J226:J229)</f>
        <v>2250</v>
      </c>
      <c r="K230" s="579">
        <v>10</v>
      </c>
      <c r="L230" s="580">
        <v>5</v>
      </c>
      <c r="M230" s="625">
        <v>10</v>
      </c>
      <c r="N230" s="626">
        <v>0</v>
      </c>
      <c r="O230" s="596">
        <v>29</v>
      </c>
      <c r="P230" s="580">
        <v>14</v>
      </c>
      <c r="Q230" s="625">
        <v>29</v>
      </c>
      <c r="R230" s="626">
        <v>1</v>
      </c>
    </row>
    <row r="231" spans="1:20" s="68" customFormat="1">
      <c r="A231" s="1191"/>
      <c r="B231" s="1192"/>
      <c r="C231" s="155"/>
      <c r="D231" s="155"/>
      <c r="E231" s="627" t="s">
        <v>483</v>
      </c>
      <c r="F231" s="5">
        <f>SUM(F219:F230)</f>
        <v>10577.4</v>
      </c>
      <c r="G231" s="155"/>
      <c r="H231" s="155"/>
      <c r="I231" s="155"/>
      <c r="J231" s="590"/>
      <c r="K231" s="579">
        <v>11</v>
      </c>
      <c r="L231" s="580">
        <v>5</v>
      </c>
      <c r="M231" s="625">
        <v>11</v>
      </c>
      <c r="N231" s="582">
        <v>1</v>
      </c>
      <c r="O231" s="596">
        <v>30</v>
      </c>
      <c r="P231" s="580">
        <v>15</v>
      </c>
      <c r="Q231" s="625">
        <v>30</v>
      </c>
      <c r="R231" s="626">
        <v>0</v>
      </c>
      <c r="S231" s="155"/>
    </row>
    <row r="232" spans="1:20" s="68" customFormat="1" ht="15.75">
      <c r="A232" s="1191"/>
      <c r="B232" s="1192"/>
      <c r="C232" s="155"/>
      <c r="D232" s="155"/>
      <c r="E232" s="624" t="s">
        <v>484</v>
      </c>
      <c r="F232" s="490">
        <f>IF(J217&gt;0,F231+J217,F231+F226+J230)</f>
        <v>12827.4</v>
      </c>
      <c r="G232" s="1200" t="s">
        <v>388</v>
      </c>
      <c r="H232" s="1201"/>
      <c r="I232" s="338" t="s">
        <v>172</v>
      </c>
      <c r="J232" s="628"/>
      <c r="K232" s="579">
        <v>12</v>
      </c>
      <c r="L232" s="580">
        <v>6</v>
      </c>
      <c r="M232" s="625">
        <v>12</v>
      </c>
      <c r="N232" s="626">
        <v>0</v>
      </c>
      <c r="O232" s="596">
        <v>31</v>
      </c>
      <c r="P232" s="580">
        <v>15</v>
      </c>
      <c r="Q232" s="625">
        <v>31</v>
      </c>
      <c r="R232" s="626">
        <v>1</v>
      </c>
    </row>
    <row r="233" spans="1:20" s="68" customFormat="1">
      <c r="A233" s="1191"/>
      <c r="B233" s="1192"/>
      <c r="C233" s="155"/>
      <c r="D233" s="155"/>
      <c r="E233" s="435" t="s">
        <v>485</v>
      </c>
      <c r="F233" s="629">
        <f>SUM(F219:F221,F223,F226)*I213</f>
        <v>273.22199999999998</v>
      </c>
      <c r="G233" s="630"/>
      <c r="H233" s="631" t="s">
        <v>486</v>
      </c>
      <c r="I233" s="342">
        <f>$J$7</f>
        <v>516</v>
      </c>
      <c r="J233" s="590"/>
      <c r="K233" s="579">
        <v>14</v>
      </c>
      <c r="L233" s="580">
        <v>7</v>
      </c>
      <c r="M233" s="625">
        <v>14</v>
      </c>
      <c r="N233" s="626">
        <v>0</v>
      </c>
      <c r="O233" s="596">
        <v>32</v>
      </c>
      <c r="P233" s="580">
        <v>16</v>
      </c>
      <c r="Q233" s="625">
        <v>32</v>
      </c>
      <c r="R233" s="626">
        <v>0</v>
      </c>
      <c r="S233" s="155"/>
    </row>
    <row r="234" spans="1:20" s="68" customFormat="1" ht="13.5" thickBot="1">
      <c r="A234" s="1191"/>
      <c r="B234" s="1192"/>
      <c r="C234" s="155"/>
      <c r="D234" s="155"/>
      <c r="E234" s="435" t="s">
        <v>487</v>
      </c>
      <c r="F234" s="632">
        <f>IF(G2="AB",0,IF(G2="BC",(F232+F233)*I214,IF(G2="SK",(F232+F233)*I215)))</f>
        <v>917.04354000000001</v>
      </c>
      <c r="G234" s="594"/>
      <c r="H234" s="631" t="s">
        <v>488</v>
      </c>
      <c r="I234" s="342">
        <f>$J$7*$D$8</f>
        <v>516</v>
      </c>
      <c r="J234" s="592"/>
      <c r="K234" s="633">
        <v>16</v>
      </c>
      <c r="L234" s="634">
        <v>8</v>
      </c>
      <c r="M234" s="635">
        <v>16</v>
      </c>
      <c r="N234" s="636">
        <v>0</v>
      </c>
      <c r="O234" s="637">
        <v>33</v>
      </c>
      <c r="P234" s="634">
        <v>16</v>
      </c>
      <c r="Q234" s="635">
        <v>33</v>
      </c>
      <c r="R234" s="636">
        <v>1</v>
      </c>
    </row>
    <row r="235" spans="1:20" s="68" customFormat="1" ht="12">
      <c r="A235" s="1191"/>
      <c r="B235" s="1192"/>
      <c r="C235" s="155"/>
      <c r="D235" s="155"/>
      <c r="E235" s="435" t="s">
        <v>489</v>
      </c>
      <c r="F235" s="638">
        <f>SUM(F232:F234)</f>
        <v>14017.66554</v>
      </c>
      <c r="G235" s="221" t="s">
        <v>490</v>
      </c>
      <c r="H235" s="221" t="s">
        <v>41</v>
      </c>
      <c r="I235" s="314" t="s">
        <v>79</v>
      </c>
      <c r="J235" s="314" t="s">
        <v>80</v>
      </c>
    </row>
    <row r="236" spans="1:20" s="68" customFormat="1" ht="12">
      <c r="A236" s="1191"/>
      <c r="B236" s="1192"/>
      <c r="C236" s="155"/>
      <c r="D236" s="435" t="s">
        <v>491</v>
      </c>
      <c r="E236" s="639">
        <v>0.1</v>
      </c>
      <c r="F236" s="640">
        <f>F235*E236</f>
        <v>1401.766554</v>
      </c>
      <c r="G236" s="493">
        <f>I236/$D$8</f>
        <v>29.882620337209303</v>
      </c>
      <c r="H236" s="493">
        <f>IF(H8=0,0,IF(E212&gt;0,E212,E237))</f>
        <v>15419.432094</v>
      </c>
      <c r="I236" s="493">
        <f>H236/$J$7</f>
        <v>29.882620337209303</v>
      </c>
      <c r="J236" s="493">
        <f>H236/$D$5</f>
        <v>471.54226587155961</v>
      </c>
    </row>
    <row r="237" spans="1:20" s="68" customFormat="1">
      <c r="A237" s="1193"/>
      <c r="B237" s="1194"/>
      <c r="C237" s="614"/>
      <c r="D237" s="641" t="s">
        <v>492</v>
      </c>
      <c r="E237" s="1202">
        <f>IF(H8=0,0,F235+F236)</f>
        <v>15419.432094</v>
      </c>
      <c r="F237" s="1203"/>
      <c r="G237" s="568"/>
      <c r="H237" s="642" t="s">
        <v>493</v>
      </c>
      <c r="I237" s="643">
        <f>I236</f>
        <v>29.882620337209303</v>
      </c>
      <c r="J237" s="643">
        <f>J236</f>
        <v>471.54226587155961</v>
      </c>
    </row>
  </sheetData>
  <mergeCells count="114">
    <mergeCell ref="G207:I207"/>
    <mergeCell ref="G208:H208"/>
    <mergeCell ref="G209:H209"/>
    <mergeCell ref="I209:J209"/>
    <mergeCell ref="A212:B237"/>
    <mergeCell ref="E212:F212"/>
    <mergeCell ref="G216:J216"/>
    <mergeCell ref="G232:H232"/>
    <mergeCell ref="E237:F237"/>
    <mergeCell ref="C204:F204"/>
    <mergeCell ref="G204:J204"/>
    <mergeCell ref="C205:D205"/>
    <mergeCell ref="E205:F205"/>
    <mergeCell ref="G205:I205"/>
    <mergeCell ref="G206:I206"/>
    <mergeCell ref="C197:E197"/>
    <mergeCell ref="C198:E198"/>
    <mergeCell ref="C199:E199"/>
    <mergeCell ref="C200:E200"/>
    <mergeCell ref="E201:F201"/>
    <mergeCell ref="C202:D202"/>
    <mergeCell ref="C192:E192"/>
    <mergeCell ref="C193:E193"/>
    <mergeCell ref="C194:E194"/>
    <mergeCell ref="C195:E195"/>
    <mergeCell ref="C196:E196"/>
    <mergeCell ref="C185:E185"/>
    <mergeCell ref="C186:E186"/>
    <mergeCell ref="C187:E187"/>
    <mergeCell ref="C188:E188"/>
    <mergeCell ref="C189:E189"/>
    <mergeCell ref="C190:E190"/>
    <mergeCell ref="B181:B184"/>
    <mergeCell ref="C181:J182"/>
    <mergeCell ref="C183:E184"/>
    <mergeCell ref="F183:F184"/>
    <mergeCell ref="G183:G184"/>
    <mergeCell ref="H183:H184"/>
    <mergeCell ref="I183:I184"/>
    <mergeCell ref="J183:J184"/>
    <mergeCell ref="C191:E191"/>
    <mergeCell ref="C161:D161"/>
    <mergeCell ref="A162:A173"/>
    <mergeCell ref="C162:D162"/>
    <mergeCell ref="C163:D163"/>
    <mergeCell ref="C164:D164"/>
    <mergeCell ref="C165:D165"/>
    <mergeCell ref="C166:D166"/>
    <mergeCell ref="C167:D167"/>
    <mergeCell ref="C169:E169"/>
    <mergeCell ref="B170:B172"/>
    <mergeCell ref="C172:D172"/>
    <mergeCell ref="B159:B160"/>
    <mergeCell ref="C160:D160"/>
    <mergeCell ref="C147:D147"/>
    <mergeCell ref="C148:E148"/>
    <mergeCell ref="C149:D149"/>
    <mergeCell ref="C150:D150"/>
    <mergeCell ref="C152:D152"/>
    <mergeCell ref="C154:C155"/>
    <mergeCell ref="D154:D155"/>
    <mergeCell ref="E154:E155"/>
    <mergeCell ref="C137:D137"/>
    <mergeCell ref="B139:B158"/>
    <mergeCell ref="C139:E139"/>
    <mergeCell ref="F139:J139"/>
    <mergeCell ref="C141:E141"/>
    <mergeCell ref="C142:D142"/>
    <mergeCell ref="C143:D143"/>
    <mergeCell ref="C144:D144"/>
    <mergeCell ref="C145:D145"/>
    <mergeCell ref="C146:D146"/>
    <mergeCell ref="F154:F155"/>
    <mergeCell ref="G154:G155"/>
    <mergeCell ref="H154:H155"/>
    <mergeCell ref="I154:I155"/>
    <mergeCell ref="E158:F158"/>
    <mergeCell ref="B103:B105"/>
    <mergeCell ref="B111:B113"/>
    <mergeCell ref="B121:J121"/>
    <mergeCell ref="C123:E123"/>
    <mergeCell ref="C126:G127"/>
    <mergeCell ref="B134:B136"/>
    <mergeCell ref="C136:D136"/>
    <mergeCell ref="C77:D77"/>
    <mergeCell ref="C78:D78"/>
    <mergeCell ref="C79:E79"/>
    <mergeCell ref="B86:B88"/>
    <mergeCell ref="C93:E93"/>
    <mergeCell ref="B94:B96"/>
    <mergeCell ref="C71:E71"/>
    <mergeCell ref="C76:D76"/>
    <mergeCell ref="AC12:AS12"/>
    <mergeCell ref="AU12:BK12"/>
    <mergeCell ref="A32:A34"/>
    <mergeCell ref="B32:B34"/>
    <mergeCell ref="A43:A45"/>
    <mergeCell ref="B43:B45"/>
    <mergeCell ref="A12:A13"/>
    <mergeCell ref="B12:B13"/>
    <mergeCell ref="C12:D12"/>
    <mergeCell ref="F12:G12"/>
    <mergeCell ref="H12:I12"/>
    <mergeCell ref="K12:AA12"/>
    <mergeCell ref="C1:E1"/>
    <mergeCell ref="H1:I1"/>
    <mergeCell ref="C2:E2"/>
    <mergeCell ref="H2:I2"/>
    <mergeCell ref="C3:D3"/>
    <mergeCell ref="H3:I3"/>
    <mergeCell ref="D62:F62"/>
    <mergeCell ref="B64:B70"/>
    <mergeCell ref="C64:G64"/>
    <mergeCell ref="H64:J64"/>
  </mergeCells>
  <conditionalFormatting sqref="B201:B202">
    <cfRule type="expression" dxfId="3" priority="1" stopIfTrue="1">
      <formula>IF($B$201&lt;&gt;0,1,0)</formula>
    </cfRule>
  </conditionalFormatting>
  <conditionalFormatting sqref="D114:D118">
    <cfRule type="expression" dxfId="2" priority="2" stopIfTrue="1">
      <formula>IF(#REF!&gt;1,1,0)</formula>
    </cfRule>
  </conditionalFormatting>
  <conditionalFormatting sqref="F46:F49 G38">
    <cfRule type="expression" dxfId="1" priority="3" stopIfTrue="1">
      <formula>IF(OR($G$2="BC",$G$2="SK",$G$2="MN"),1,0)</formula>
    </cfRule>
  </conditionalFormatting>
  <conditionalFormatting sqref="C28:E28">
    <cfRule type="expression" dxfId="0" priority="4" stopIfTrue="1">
      <formula>IF($G$2="bc",1,0)</formula>
    </cfRule>
  </conditionalFormatting>
  <dataValidations count="8">
    <dataValidation type="list" allowBlank="1" showInputMessage="1" showErrorMessage="1" sqref="G1 JC1 SY1 ACU1 AMQ1 AWM1 BGI1 BQE1 CAA1 CJW1 CTS1 DDO1 DNK1 DXG1 EHC1 EQY1 FAU1 FKQ1 FUM1 GEI1 GOE1 GYA1 HHW1 HRS1 IBO1 ILK1 IVG1 JFC1 JOY1 JYU1 KIQ1 KSM1 LCI1 LME1 LWA1 MFW1 MPS1 MZO1 NJK1 NTG1 ODC1 OMY1 OWU1 PGQ1 PQM1 QAI1 QKE1 QUA1 RDW1 RNS1 RXO1 SHK1 SRG1 TBC1 TKY1 TUU1 UEQ1 UOM1 UYI1 VIE1 VSA1 WBW1 WLS1 WVO1 G65537 JC65537 SY65537 ACU65537 AMQ65537 AWM65537 BGI65537 BQE65537 CAA65537 CJW65537 CTS65537 DDO65537 DNK65537 DXG65537 EHC65537 EQY65537 FAU65537 FKQ65537 FUM65537 GEI65537 GOE65537 GYA65537 HHW65537 HRS65537 IBO65537 ILK65537 IVG65537 JFC65537 JOY65537 JYU65537 KIQ65537 KSM65537 LCI65537 LME65537 LWA65537 MFW65537 MPS65537 MZO65537 NJK65537 NTG65537 ODC65537 OMY65537 OWU65537 PGQ65537 PQM65537 QAI65537 QKE65537 QUA65537 RDW65537 RNS65537 RXO65537 SHK65537 SRG65537 TBC65537 TKY65537 TUU65537 UEQ65537 UOM65537 UYI65537 VIE65537 VSA65537 WBW65537 WLS65537 WVO65537 G131073 JC131073 SY131073 ACU131073 AMQ131073 AWM131073 BGI131073 BQE131073 CAA131073 CJW131073 CTS131073 DDO131073 DNK131073 DXG131073 EHC131073 EQY131073 FAU131073 FKQ131073 FUM131073 GEI131073 GOE131073 GYA131073 HHW131073 HRS131073 IBO131073 ILK131073 IVG131073 JFC131073 JOY131073 JYU131073 KIQ131073 KSM131073 LCI131073 LME131073 LWA131073 MFW131073 MPS131073 MZO131073 NJK131073 NTG131073 ODC131073 OMY131073 OWU131073 PGQ131073 PQM131073 QAI131073 QKE131073 QUA131073 RDW131073 RNS131073 RXO131073 SHK131073 SRG131073 TBC131073 TKY131073 TUU131073 UEQ131073 UOM131073 UYI131073 VIE131073 VSA131073 WBW131073 WLS131073 WVO131073 G196609 JC196609 SY196609 ACU196609 AMQ196609 AWM196609 BGI196609 BQE196609 CAA196609 CJW196609 CTS196609 DDO196609 DNK196609 DXG196609 EHC196609 EQY196609 FAU196609 FKQ196609 FUM196609 GEI196609 GOE196609 GYA196609 HHW196609 HRS196609 IBO196609 ILK196609 IVG196609 JFC196609 JOY196609 JYU196609 KIQ196609 KSM196609 LCI196609 LME196609 LWA196609 MFW196609 MPS196609 MZO196609 NJK196609 NTG196609 ODC196609 OMY196609 OWU196609 PGQ196609 PQM196609 QAI196609 QKE196609 QUA196609 RDW196609 RNS196609 RXO196609 SHK196609 SRG196609 TBC196609 TKY196609 TUU196609 UEQ196609 UOM196609 UYI196609 VIE196609 VSA196609 WBW196609 WLS196609 WVO196609 G262145 JC262145 SY262145 ACU262145 AMQ262145 AWM262145 BGI262145 BQE262145 CAA262145 CJW262145 CTS262145 DDO262145 DNK262145 DXG262145 EHC262145 EQY262145 FAU262145 FKQ262145 FUM262145 GEI262145 GOE262145 GYA262145 HHW262145 HRS262145 IBO262145 ILK262145 IVG262145 JFC262145 JOY262145 JYU262145 KIQ262145 KSM262145 LCI262145 LME262145 LWA262145 MFW262145 MPS262145 MZO262145 NJK262145 NTG262145 ODC262145 OMY262145 OWU262145 PGQ262145 PQM262145 QAI262145 QKE262145 QUA262145 RDW262145 RNS262145 RXO262145 SHK262145 SRG262145 TBC262145 TKY262145 TUU262145 UEQ262145 UOM262145 UYI262145 VIE262145 VSA262145 WBW262145 WLS262145 WVO262145 G327681 JC327681 SY327681 ACU327681 AMQ327681 AWM327681 BGI327681 BQE327681 CAA327681 CJW327681 CTS327681 DDO327681 DNK327681 DXG327681 EHC327681 EQY327681 FAU327681 FKQ327681 FUM327681 GEI327681 GOE327681 GYA327681 HHW327681 HRS327681 IBO327681 ILK327681 IVG327681 JFC327681 JOY327681 JYU327681 KIQ327681 KSM327681 LCI327681 LME327681 LWA327681 MFW327681 MPS327681 MZO327681 NJK327681 NTG327681 ODC327681 OMY327681 OWU327681 PGQ327681 PQM327681 QAI327681 QKE327681 QUA327681 RDW327681 RNS327681 RXO327681 SHK327681 SRG327681 TBC327681 TKY327681 TUU327681 UEQ327681 UOM327681 UYI327681 VIE327681 VSA327681 WBW327681 WLS327681 WVO327681 G393217 JC393217 SY393217 ACU393217 AMQ393217 AWM393217 BGI393217 BQE393217 CAA393217 CJW393217 CTS393217 DDO393217 DNK393217 DXG393217 EHC393217 EQY393217 FAU393217 FKQ393217 FUM393217 GEI393217 GOE393217 GYA393217 HHW393217 HRS393217 IBO393217 ILK393217 IVG393217 JFC393217 JOY393217 JYU393217 KIQ393217 KSM393217 LCI393217 LME393217 LWA393217 MFW393217 MPS393217 MZO393217 NJK393217 NTG393217 ODC393217 OMY393217 OWU393217 PGQ393217 PQM393217 QAI393217 QKE393217 QUA393217 RDW393217 RNS393217 RXO393217 SHK393217 SRG393217 TBC393217 TKY393217 TUU393217 UEQ393217 UOM393217 UYI393217 VIE393217 VSA393217 WBW393217 WLS393217 WVO393217 G458753 JC458753 SY458753 ACU458753 AMQ458753 AWM458753 BGI458753 BQE458753 CAA458753 CJW458753 CTS458753 DDO458753 DNK458753 DXG458753 EHC458753 EQY458753 FAU458753 FKQ458753 FUM458753 GEI458753 GOE458753 GYA458753 HHW458753 HRS458753 IBO458753 ILK458753 IVG458753 JFC458753 JOY458753 JYU458753 KIQ458753 KSM458753 LCI458753 LME458753 LWA458753 MFW458753 MPS458753 MZO458753 NJK458753 NTG458753 ODC458753 OMY458753 OWU458753 PGQ458753 PQM458753 QAI458753 QKE458753 QUA458753 RDW458753 RNS458753 RXO458753 SHK458753 SRG458753 TBC458753 TKY458753 TUU458753 UEQ458753 UOM458753 UYI458753 VIE458753 VSA458753 WBW458753 WLS458753 WVO458753 G524289 JC524289 SY524289 ACU524289 AMQ524289 AWM524289 BGI524289 BQE524289 CAA524289 CJW524289 CTS524289 DDO524289 DNK524289 DXG524289 EHC524289 EQY524289 FAU524289 FKQ524289 FUM524289 GEI524289 GOE524289 GYA524289 HHW524289 HRS524289 IBO524289 ILK524289 IVG524289 JFC524289 JOY524289 JYU524289 KIQ524289 KSM524289 LCI524289 LME524289 LWA524289 MFW524289 MPS524289 MZO524289 NJK524289 NTG524289 ODC524289 OMY524289 OWU524289 PGQ524289 PQM524289 QAI524289 QKE524289 QUA524289 RDW524289 RNS524289 RXO524289 SHK524289 SRG524289 TBC524289 TKY524289 TUU524289 UEQ524289 UOM524289 UYI524289 VIE524289 VSA524289 WBW524289 WLS524289 WVO524289 G589825 JC589825 SY589825 ACU589825 AMQ589825 AWM589825 BGI589825 BQE589825 CAA589825 CJW589825 CTS589825 DDO589825 DNK589825 DXG589825 EHC589825 EQY589825 FAU589825 FKQ589825 FUM589825 GEI589825 GOE589825 GYA589825 HHW589825 HRS589825 IBO589825 ILK589825 IVG589825 JFC589825 JOY589825 JYU589825 KIQ589825 KSM589825 LCI589825 LME589825 LWA589825 MFW589825 MPS589825 MZO589825 NJK589825 NTG589825 ODC589825 OMY589825 OWU589825 PGQ589825 PQM589825 QAI589825 QKE589825 QUA589825 RDW589825 RNS589825 RXO589825 SHK589825 SRG589825 TBC589825 TKY589825 TUU589825 UEQ589825 UOM589825 UYI589825 VIE589825 VSA589825 WBW589825 WLS589825 WVO589825 G655361 JC655361 SY655361 ACU655361 AMQ655361 AWM655361 BGI655361 BQE655361 CAA655361 CJW655361 CTS655361 DDO655361 DNK655361 DXG655361 EHC655361 EQY655361 FAU655361 FKQ655361 FUM655361 GEI655361 GOE655361 GYA655361 HHW655361 HRS655361 IBO655361 ILK655361 IVG655361 JFC655361 JOY655361 JYU655361 KIQ655361 KSM655361 LCI655361 LME655361 LWA655361 MFW655361 MPS655361 MZO655361 NJK655361 NTG655361 ODC655361 OMY655361 OWU655361 PGQ655361 PQM655361 QAI655361 QKE655361 QUA655361 RDW655361 RNS655361 RXO655361 SHK655361 SRG655361 TBC655361 TKY655361 TUU655361 UEQ655361 UOM655361 UYI655361 VIE655361 VSA655361 WBW655361 WLS655361 WVO655361 G720897 JC720897 SY720897 ACU720897 AMQ720897 AWM720897 BGI720897 BQE720897 CAA720897 CJW720897 CTS720897 DDO720897 DNK720897 DXG720897 EHC720897 EQY720897 FAU720897 FKQ720897 FUM720897 GEI720897 GOE720897 GYA720897 HHW720897 HRS720897 IBO720897 ILK720897 IVG720897 JFC720897 JOY720897 JYU720897 KIQ720897 KSM720897 LCI720897 LME720897 LWA720897 MFW720897 MPS720897 MZO720897 NJK720897 NTG720897 ODC720897 OMY720897 OWU720897 PGQ720897 PQM720897 QAI720897 QKE720897 QUA720897 RDW720897 RNS720897 RXO720897 SHK720897 SRG720897 TBC720897 TKY720897 TUU720897 UEQ720897 UOM720897 UYI720897 VIE720897 VSA720897 WBW720897 WLS720897 WVO720897 G786433 JC786433 SY786433 ACU786433 AMQ786433 AWM786433 BGI786433 BQE786433 CAA786433 CJW786433 CTS786433 DDO786433 DNK786433 DXG786433 EHC786433 EQY786433 FAU786433 FKQ786433 FUM786433 GEI786433 GOE786433 GYA786433 HHW786433 HRS786433 IBO786433 ILK786433 IVG786433 JFC786433 JOY786433 JYU786433 KIQ786433 KSM786433 LCI786433 LME786433 LWA786433 MFW786433 MPS786433 MZO786433 NJK786433 NTG786433 ODC786433 OMY786433 OWU786433 PGQ786433 PQM786433 QAI786433 QKE786433 QUA786433 RDW786433 RNS786433 RXO786433 SHK786433 SRG786433 TBC786433 TKY786433 TUU786433 UEQ786433 UOM786433 UYI786433 VIE786433 VSA786433 WBW786433 WLS786433 WVO786433 G851969 JC851969 SY851969 ACU851969 AMQ851969 AWM851969 BGI851969 BQE851969 CAA851969 CJW851969 CTS851969 DDO851969 DNK851969 DXG851969 EHC851969 EQY851969 FAU851969 FKQ851969 FUM851969 GEI851969 GOE851969 GYA851969 HHW851969 HRS851969 IBO851969 ILK851969 IVG851969 JFC851969 JOY851969 JYU851969 KIQ851969 KSM851969 LCI851969 LME851969 LWA851969 MFW851969 MPS851969 MZO851969 NJK851969 NTG851969 ODC851969 OMY851969 OWU851969 PGQ851969 PQM851969 QAI851969 QKE851969 QUA851969 RDW851969 RNS851969 RXO851969 SHK851969 SRG851969 TBC851969 TKY851969 TUU851969 UEQ851969 UOM851969 UYI851969 VIE851969 VSA851969 WBW851969 WLS851969 WVO851969 G917505 JC917505 SY917505 ACU917505 AMQ917505 AWM917505 BGI917505 BQE917505 CAA917505 CJW917505 CTS917505 DDO917505 DNK917505 DXG917505 EHC917505 EQY917505 FAU917505 FKQ917505 FUM917505 GEI917505 GOE917505 GYA917505 HHW917505 HRS917505 IBO917505 ILK917505 IVG917505 JFC917505 JOY917505 JYU917505 KIQ917505 KSM917505 LCI917505 LME917505 LWA917505 MFW917505 MPS917505 MZO917505 NJK917505 NTG917505 ODC917505 OMY917505 OWU917505 PGQ917505 PQM917505 QAI917505 QKE917505 QUA917505 RDW917505 RNS917505 RXO917505 SHK917505 SRG917505 TBC917505 TKY917505 TUU917505 UEQ917505 UOM917505 UYI917505 VIE917505 VSA917505 WBW917505 WLS917505 WVO917505 G983041 JC983041 SY983041 ACU983041 AMQ983041 AWM983041 BGI983041 BQE983041 CAA983041 CJW983041 CTS983041 DDO983041 DNK983041 DXG983041 EHC983041 EQY983041 FAU983041 FKQ983041 FUM983041 GEI983041 GOE983041 GYA983041 HHW983041 HRS983041 IBO983041 ILK983041 IVG983041 JFC983041 JOY983041 JYU983041 KIQ983041 KSM983041 LCI983041 LME983041 LWA983041 MFW983041 MPS983041 MZO983041 NJK983041 NTG983041 ODC983041 OMY983041 OWU983041 PGQ983041 PQM983041 QAI983041 QKE983041 QUA983041 RDW983041 RNS983041 RXO983041 SHK983041 SRG983041 TBC983041 TKY983041 TUU983041 UEQ983041 UOM983041 UYI983041 VIE983041 VSA983041 WBW983041 WLS983041 WVO983041" xr:uid="{A8C730CE-5F21-4110-B8BC-C29103359601}">
      <formula1>"379,716,717,779"</formula1>
    </dataValidation>
    <dataValidation type="list" allowBlank="1" showInputMessage="1" showErrorMessage="1" sqref="G2 JC2 SY2 ACU2 AMQ2 AWM2 BGI2 BQE2 CAA2 CJW2 CTS2 DDO2 DNK2 DXG2 EHC2 EQY2 FAU2 FKQ2 FUM2 GEI2 GOE2 GYA2 HHW2 HRS2 IBO2 ILK2 IVG2 JFC2 JOY2 JYU2 KIQ2 KSM2 LCI2 LME2 LWA2 MFW2 MPS2 MZO2 NJK2 NTG2 ODC2 OMY2 OWU2 PGQ2 PQM2 QAI2 QKE2 QUA2 RDW2 RNS2 RXO2 SHK2 SRG2 TBC2 TKY2 TUU2 UEQ2 UOM2 UYI2 VIE2 VSA2 WBW2 WLS2 WVO2 G65538 JC65538 SY65538 ACU65538 AMQ65538 AWM65538 BGI65538 BQE65538 CAA65538 CJW65538 CTS65538 DDO65538 DNK65538 DXG65538 EHC65538 EQY65538 FAU65538 FKQ65538 FUM65538 GEI65538 GOE65538 GYA65538 HHW65538 HRS65538 IBO65538 ILK65538 IVG65538 JFC65538 JOY65538 JYU65538 KIQ65538 KSM65538 LCI65538 LME65538 LWA65538 MFW65538 MPS65538 MZO65538 NJK65538 NTG65538 ODC65538 OMY65538 OWU65538 PGQ65538 PQM65538 QAI65538 QKE65538 QUA65538 RDW65538 RNS65538 RXO65538 SHK65538 SRG65538 TBC65538 TKY65538 TUU65538 UEQ65538 UOM65538 UYI65538 VIE65538 VSA65538 WBW65538 WLS65538 WVO65538 G131074 JC131074 SY131074 ACU131074 AMQ131074 AWM131074 BGI131074 BQE131074 CAA131074 CJW131074 CTS131074 DDO131074 DNK131074 DXG131074 EHC131074 EQY131074 FAU131074 FKQ131074 FUM131074 GEI131074 GOE131074 GYA131074 HHW131074 HRS131074 IBO131074 ILK131074 IVG131074 JFC131074 JOY131074 JYU131074 KIQ131074 KSM131074 LCI131074 LME131074 LWA131074 MFW131074 MPS131074 MZO131074 NJK131074 NTG131074 ODC131074 OMY131074 OWU131074 PGQ131074 PQM131074 QAI131074 QKE131074 QUA131074 RDW131074 RNS131074 RXO131074 SHK131074 SRG131074 TBC131074 TKY131074 TUU131074 UEQ131074 UOM131074 UYI131074 VIE131074 VSA131074 WBW131074 WLS131074 WVO131074 G196610 JC196610 SY196610 ACU196610 AMQ196610 AWM196610 BGI196610 BQE196610 CAA196610 CJW196610 CTS196610 DDO196610 DNK196610 DXG196610 EHC196610 EQY196610 FAU196610 FKQ196610 FUM196610 GEI196610 GOE196610 GYA196610 HHW196610 HRS196610 IBO196610 ILK196610 IVG196610 JFC196610 JOY196610 JYU196610 KIQ196610 KSM196610 LCI196610 LME196610 LWA196610 MFW196610 MPS196610 MZO196610 NJK196610 NTG196610 ODC196610 OMY196610 OWU196610 PGQ196610 PQM196610 QAI196610 QKE196610 QUA196610 RDW196610 RNS196610 RXO196610 SHK196610 SRG196610 TBC196610 TKY196610 TUU196610 UEQ196610 UOM196610 UYI196610 VIE196610 VSA196610 WBW196610 WLS196610 WVO196610 G262146 JC262146 SY262146 ACU262146 AMQ262146 AWM262146 BGI262146 BQE262146 CAA262146 CJW262146 CTS262146 DDO262146 DNK262146 DXG262146 EHC262146 EQY262146 FAU262146 FKQ262146 FUM262146 GEI262146 GOE262146 GYA262146 HHW262146 HRS262146 IBO262146 ILK262146 IVG262146 JFC262146 JOY262146 JYU262146 KIQ262146 KSM262146 LCI262146 LME262146 LWA262146 MFW262146 MPS262146 MZO262146 NJK262146 NTG262146 ODC262146 OMY262146 OWU262146 PGQ262146 PQM262146 QAI262146 QKE262146 QUA262146 RDW262146 RNS262146 RXO262146 SHK262146 SRG262146 TBC262146 TKY262146 TUU262146 UEQ262146 UOM262146 UYI262146 VIE262146 VSA262146 WBW262146 WLS262146 WVO262146 G327682 JC327682 SY327682 ACU327682 AMQ327682 AWM327682 BGI327682 BQE327682 CAA327682 CJW327682 CTS327682 DDO327682 DNK327682 DXG327682 EHC327682 EQY327682 FAU327682 FKQ327682 FUM327682 GEI327682 GOE327682 GYA327682 HHW327682 HRS327682 IBO327682 ILK327682 IVG327682 JFC327682 JOY327682 JYU327682 KIQ327682 KSM327682 LCI327682 LME327682 LWA327682 MFW327682 MPS327682 MZO327682 NJK327682 NTG327682 ODC327682 OMY327682 OWU327682 PGQ327682 PQM327682 QAI327682 QKE327682 QUA327682 RDW327682 RNS327682 RXO327682 SHK327682 SRG327682 TBC327682 TKY327682 TUU327682 UEQ327682 UOM327682 UYI327682 VIE327682 VSA327682 WBW327682 WLS327682 WVO327682 G393218 JC393218 SY393218 ACU393218 AMQ393218 AWM393218 BGI393218 BQE393218 CAA393218 CJW393218 CTS393218 DDO393218 DNK393218 DXG393218 EHC393218 EQY393218 FAU393218 FKQ393218 FUM393218 GEI393218 GOE393218 GYA393218 HHW393218 HRS393218 IBO393218 ILK393218 IVG393218 JFC393218 JOY393218 JYU393218 KIQ393218 KSM393218 LCI393218 LME393218 LWA393218 MFW393218 MPS393218 MZO393218 NJK393218 NTG393218 ODC393218 OMY393218 OWU393218 PGQ393218 PQM393218 QAI393218 QKE393218 QUA393218 RDW393218 RNS393218 RXO393218 SHK393218 SRG393218 TBC393218 TKY393218 TUU393218 UEQ393218 UOM393218 UYI393218 VIE393218 VSA393218 WBW393218 WLS393218 WVO393218 G458754 JC458754 SY458754 ACU458754 AMQ458754 AWM458754 BGI458754 BQE458754 CAA458754 CJW458754 CTS458754 DDO458754 DNK458754 DXG458754 EHC458754 EQY458754 FAU458754 FKQ458754 FUM458754 GEI458754 GOE458754 GYA458754 HHW458754 HRS458754 IBO458754 ILK458754 IVG458754 JFC458754 JOY458754 JYU458754 KIQ458754 KSM458754 LCI458754 LME458754 LWA458754 MFW458754 MPS458754 MZO458754 NJK458754 NTG458754 ODC458754 OMY458754 OWU458754 PGQ458754 PQM458754 QAI458754 QKE458754 QUA458754 RDW458754 RNS458754 RXO458754 SHK458754 SRG458754 TBC458754 TKY458754 TUU458754 UEQ458754 UOM458754 UYI458754 VIE458754 VSA458754 WBW458754 WLS458754 WVO458754 G524290 JC524290 SY524290 ACU524290 AMQ524290 AWM524290 BGI524290 BQE524290 CAA524290 CJW524290 CTS524290 DDO524290 DNK524290 DXG524290 EHC524290 EQY524290 FAU524290 FKQ524290 FUM524290 GEI524290 GOE524290 GYA524290 HHW524290 HRS524290 IBO524290 ILK524290 IVG524290 JFC524290 JOY524290 JYU524290 KIQ524290 KSM524290 LCI524290 LME524290 LWA524290 MFW524290 MPS524290 MZO524290 NJK524290 NTG524290 ODC524290 OMY524290 OWU524290 PGQ524290 PQM524290 QAI524290 QKE524290 QUA524290 RDW524290 RNS524290 RXO524290 SHK524290 SRG524290 TBC524290 TKY524290 TUU524290 UEQ524290 UOM524290 UYI524290 VIE524290 VSA524290 WBW524290 WLS524290 WVO524290 G589826 JC589826 SY589826 ACU589826 AMQ589826 AWM589826 BGI589826 BQE589826 CAA589826 CJW589826 CTS589826 DDO589826 DNK589826 DXG589826 EHC589826 EQY589826 FAU589826 FKQ589826 FUM589826 GEI589826 GOE589826 GYA589826 HHW589826 HRS589826 IBO589826 ILK589826 IVG589826 JFC589826 JOY589826 JYU589826 KIQ589826 KSM589826 LCI589826 LME589826 LWA589826 MFW589826 MPS589826 MZO589826 NJK589826 NTG589826 ODC589826 OMY589826 OWU589826 PGQ589826 PQM589826 QAI589826 QKE589826 QUA589826 RDW589826 RNS589826 RXO589826 SHK589826 SRG589826 TBC589826 TKY589826 TUU589826 UEQ589826 UOM589826 UYI589826 VIE589826 VSA589826 WBW589826 WLS589826 WVO589826 G655362 JC655362 SY655362 ACU655362 AMQ655362 AWM655362 BGI655362 BQE655362 CAA655362 CJW655362 CTS655362 DDO655362 DNK655362 DXG655362 EHC655362 EQY655362 FAU655362 FKQ655362 FUM655362 GEI655362 GOE655362 GYA655362 HHW655362 HRS655362 IBO655362 ILK655362 IVG655362 JFC655362 JOY655362 JYU655362 KIQ655362 KSM655362 LCI655362 LME655362 LWA655362 MFW655362 MPS655362 MZO655362 NJK655362 NTG655362 ODC655362 OMY655362 OWU655362 PGQ655362 PQM655362 QAI655362 QKE655362 QUA655362 RDW655362 RNS655362 RXO655362 SHK655362 SRG655362 TBC655362 TKY655362 TUU655362 UEQ655362 UOM655362 UYI655362 VIE655362 VSA655362 WBW655362 WLS655362 WVO655362 G720898 JC720898 SY720898 ACU720898 AMQ720898 AWM720898 BGI720898 BQE720898 CAA720898 CJW720898 CTS720898 DDO720898 DNK720898 DXG720898 EHC720898 EQY720898 FAU720898 FKQ720898 FUM720898 GEI720898 GOE720898 GYA720898 HHW720898 HRS720898 IBO720898 ILK720898 IVG720898 JFC720898 JOY720898 JYU720898 KIQ720898 KSM720898 LCI720898 LME720898 LWA720898 MFW720898 MPS720898 MZO720898 NJK720898 NTG720898 ODC720898 OMY720898 OWU720898 PGQ720898 PQM720898 QAI720898 QKE720898 QUA720898 RDW720898 RNS720898 RXO720898 SHK720898 SRG720898 TBC720898 TKY720898 TUU720898 UEQ720898 UOM720898 UYI720898 VIE720898 VSA720898 WBW720898 WLS720898 WVO720898 G786434 JC786434 SY786434 ACU786434 AMQ786434 AWM786434 BGI786434 BQE786434 CAA786434 CJW786434 CTS786434 DDO786434 DNK786434 DXG786434 EHC786434 EQY786434 FAU786434 FKQ786434 FUM786434 GEI786434 GOE786434 GYA786434 HHW786434 HRS786434 IBO786434 ILK786434 IVG786434 JFC786434 JOY786434 JYU786434 KIQ786434 KSM786434 LCI786434 LME786434 LWA786434 MFW786434 MPS786434 MZO786434 NJK786434 NTG786434 ODC786434 OMY786434 OWU786434 PGQ786434 PQM786434 QAI786434 QKE786434 QUA786434 RDW786434 RNS786434 RXO786434 SHK786434 SRG786434 TBC786434 TKY786434 TUU786434 UEQ786434 UOM786434 UYI786434 VIE786434 VSA786434 WBW786434 WLS786434 WVO786434 G851970 JC851970 SY851970 ACU851970 AMQ851970 AWM851970 BGI851970 BQE851970 CAA851970 CJW851970 CTS851970 DDO851970 DNK851970 DXG851970 EHC851970 EQY851970 FAU851970 FKQ851970 FUM851970 GEI851970 GOE851970 GYA851970 HHW851970 HRS851970 IBO851970 ILK851970 IVG851970 JFC851970 JOY851970 JYU851970 KIQ851970 KSM851970 LCI851970 LME851970 LWA851970 MFW851970 MPS851970 MZO851970 NJK851970 NTG851970 ODC851970 OMY851970 OWU851970 PGQ851970 PQM851970 QAI851970 QKE851970 QUA851970 RDW851970 RNS851970 RXO851970 SHK851970 SRG851970 TBC851970 TKY851970 TUU851970 UEQ851970 UOM851970 UYI851970 VIE851970 VSA851970 WBW851970 WLS851970 WVO851970 G917506 JC917506 SY917506 ACU917506 AMQ917506 AWM917506 BGI917506 BQE917506 CAA917506 CJW917506 CTS917506 DDO917506 DNK917506 DXG917506 EHC917506 EQY917506 FAU917506 FKQ917506 FUM917506 GEI917506 GOE917506 GYA917506 HHW917506 HRS917506 IBO917506 ILK917506 IVG917506 JFC917506 JOY917506 JYU917506 KIQ917506 KSM917506 LCI917506 LME917506 LWA917506 MFW917506 MPS917506 MZO917506 NJK917506 NTG917506 ODC917506 OMY917506 OWU917506 PGQ917506 PQM917506 QAI917506 QKE917506 QUA917506 RDW917506 RNS917506 RXO917506 SHK917506 SRG917506 TBC917506 TKY917506 TUU917506 UEQ917506 UOM917506 UYI917506 VIE917506 VSA917506 WBW917506 WLS917506 WVO917506 G983042 JC983042 SY983042 ACU983042 AMQ983042 AWM983042 BGI983042 BQE983042 CAA983042 CJW983042 CTS983042 DDO983042 DNK983042 DXG983042 EHC983042 EQY983042 FAU983042 FKQ983042 FUM983042 GEI983042 GOE983042 GYA983042 HHW983042 HRS983042 IBO983042 ILK983042 IVG983042 JFC983042 JOY983042 JYU983042 KIQ983042 KSM983042 LCI983042 LME983042 LWA983042 MFW983042 MPS983042 MZO983042 NJK983042 NTG983042 ODC983042 OMY983042 OWU983042 PGQ983042 PQM983042 QAI983042 QKE983042 QUA983042 RDW983042 RNS983042 RXO983042 SHK983042 SRG983042 TBC983042 TKY983042 TUU983042 UEQ983042 UOM983042 UYI983042 VIE983042 VSA983042 WBW983042 WLS983042 WVO983042" xr:uid="{5152D08E-B2B7-4086-9B50-7324C6B8EE89}">
      <formula1>"AB,BC,SK,MN"</formula1>
    </dataValidation>
    <dataValidation type="list" allowBlank="1" showInputMessage="1" showErrorMessage="1" sqref="D38 IZ38 SV38 ACR38 AMN38 AWJ38 BGF38 BQB38 BZX38 CJT38 CTP38 DDL38 DNH38 DXD38 EGZ38 EQV38 FAR38 FKN38 FUJ38 GEF38 GOB38 GXX38 HHT38 HRP38 IBL38 ILH38 IVD38 JEZ38 JOV38 JYR38 KIN38 KSJ38 LCF38 LMB38 LVX38 MFT38 MPP38 MZL38 NJH38 NTD38 OCZ38 OMV38 OWR38 PGN38 PQJ38 QAF38 QKB38 QTX38 RDT38 RNP38 RXL38 SHH38 SRD38 TAZ38 TKV38 TUR38 UEN38 UOJ38 UYF38 VIB38 VRX38 WBT38 WLP38 WVL38 D65574 IZ65574 SV65574 ACR65574 AMN65574 AWJ65574 BGF65574 BQB65574 BZX65574 CJT65574 CTP65574 DDL65574 DNH65574 DXD65574 EGZ65574 EQV65574 FAR65574 FKN65574 FUJ65574 GEF65574 GOB65574 GXX65574 HHT65574 HRP65574 IBL65574 ILH65574 IVD65574 JEZ65574 JOV65574 JYR65574 KIN65574 KSJ65574 LCF65574 LMB65574 LVX65574 MFT65574 MPP65574 MZL65574 NJH65574 NTD65574 OCZ65574 OMV65574 OWR65574 PGN65574 PQJ65574 QAF65574 QKB65574 QTX65574 RDT65574 RNP65574 RXL65574 SHH65574 SRD65574 TAZ65574 TKV65574 TUR65574 UEN65574 UOJ65574 UYF65574 VIB65574 VRX65574 WBT65574 WLP65574 WVL65574 D131110 IZ131110 SV131110 ACR131110 AMN131110 AWJ131110 BGF131110 BQB131110 BZX131110 CJT131110 CTP131110 DDL131110 DNH131110 DXD131110 EGZ131110 EQV131110 FAR131110 FKN131110 FUJ131110 GEF131110 GOB131110 GXX131110 HHT131110 HRP131110 IBL131110 ILH131110 IVD131110 JEZ131110 JOV131110 JYR131110 KIN131110 KSJ131110 LCF131110 LMB131110 LVX131110 MFT131110 MPP131110 MZL131110 NJH131110 NTD131110 OCZ131110 OMV131110 OWR131110 PGN131110 PQJ131110 QAF131110 QKB131110 QTX131110 RDT131110 RNP131110 RXL131110 SHH131110 SRD131110 TAZ131110 TKV131110 TUR131110 UEN131110 UOJ131110 UYF131110 VIB131110 VRX131110 WBT131110 WLP131110 WVL131110 D196646 IZ196646 SV196646 ACR196646 AMN196646 AWJ196646 BGF196646 BQB196646 BZX196646 CJT196646 CTP196646 DDL196646 DNH196646 DXD196646 EGZ196646 EQV196646 FAR196646 FKN196646 FUJ196646 GEF196646 GOB196646 GXX196646 HHT196646 HRP196646 IBL196646 ILH196646 IVD196646 JEZ196646 JOV196646 JYR196646 KIN196646 KSJ196646 LCF196646 LMB196646 LVX196646 MFT196646 MPP196646 MZL196646 NJH196646 NTD196646 OCZ196646 OMV196646 OWR196646 PGN196646 PQJ196646 QAF196646 QKB196646 QTX196646 RDT196646 RNP196646 RXL196646 SHH196646 SRD196646 TAZ196646 TKV196646 TUR196646 UEN196646 UOJ196646 UYF196646 VIB196646 VRX196646 WBT196646 WLP196646 WVL196646 D262182 IZ262182 SV262182 ACR262182 AMN262182 AWJ262182 BGF262182 BQB262182 BZX262182 CJT262182 CTP262182 DDL262182 DNH262182 DXD262182 EGZ262182 EQV262182 FAR262182 FKN262182 FUJ262182 GEF262182 GOB262182 GXX262182 HHT262182 HRP262182 IBL262182 ILH262182 IVD262182 JEZ262182 JOV262182 JYR262182 KIN262182 KSJ262182 LCF262182 LMB262182 LVX262182 MFT262182 MPP262182 MZL262182 NJH262182 NTD262182 OCZ262182 OMV262182 OWR262182 PGN262182 PQJ262182 QAF262182 QKB262182 QTX262182 RDT262182 RNP262182 RXL262182 SHH262182 SRD262182 TAZ262182 TKV262182 TUR262182 UEN262182 UOJ262182 UYF262182 VIB262182 VRX262182 WBT262182 WLP262182 WVL262182 D327718 IZ327718 SV327718 ACR327718 AMN327718 AWJ327718 BGF327718 BQB327718 BZX327718 CJT327718 CTP327718 DDL327718 DNH327718 DXD327718 EGZ327718 EQV327718 FAR327718 FKN327718 FUJ327718 GEF327718 GOB327718 GXX327718 HHT327718 HRP327718 IBL327718 ILH327718 IVD327718 JEZ327718 JOV327718 JYR327718 KIN327718 KSJ327718 LCF327718 LMB327718 LVX327718 MFT327718 MPP327718 MZL327718 NJH327718 NTD327718 OCZ327718 OMV327718 OWR327718 PGN327718 PQJ327718 QAF327718 QKB327718 QTX327718 RDT327718 RNP327718 RXL327718 SHH327718 SRD327718 TAZ327718 TKV327718 TUR327718 UEN327718 UOJ327718 UYF327718 VIB327718 VRX327718 WBT327718 WLP327718 WVL327718 D393254 IZ393254 SV393254 ACR393254 AMN393254 AWJ393254 BGF393254 BQB393254 BZX393254 CJT393254 CTP393254 DDL393254 DNH393254 DXD393254 EGZ393254 EQV393254 FAR393254 FKN393254 FUJ393254 GEF393254 GOB393254 GXX393254 HHT393254 HRP393254 IBL393254 ILH393254 IVD393254 JEZ393254 JOV393254 JYR393254 KIN393254 KSJ393254 LCF393254 LMB393254 LVX393254 MFT393254 MPP393254 MZL393254 NJH393254 NTD393254 OCZ393254 OMV393254 OWR393254 PGN393254 PQJ393254 QAF393254 QKB393254 QTX393254 RDT393254 RNP393254 RXL393254 SHH393254 SRD393254 TAZ393254 TKV393254 TUR393254 UEN393254 UOJ393254 UYF393254 VIB393254 VRX393254 WBT393254 WLP393254 WVL393254 D458790 IZ458790 SV458790 ACR458790 AMN458790 AWJ458790 BGF458790 BQB458790 BZX458790 CJT458790 CTP458790 DDL458790 DNH458790 DXD458790 EGZ458790 EQV458790 FAR458790 FKN458790 FUJ458790 GEF458790 GOB458790 GXX458790 HHT458790 HRP458790 IBL458790 ILH458790 IVD458790 JEZ458790 JOV458790 JYR458790 KIN458790 KSJ458790 LCF458790 LMB458790 LVX458790 MFT458790 MPP458790 MZL458790 NJH458790 NTD458790 OCZ458790 OMV458790 OWR458790 PGN458790 PQJ458790 QAF458790 QKB458790 QTX458790 RDT458790 RNP458790 RXL458790 SHH458790 SRD458790 TAZ458790 TKV458790 TUR458790 UEN458790 UOJ458790 UYF458790 VIB458790 VRX458790 WBT458790 WLP458790 WVL458790 D524326 IZ524326 SV524326 ACR524326 AMN524326 AWJ524326 BGF524326 BQB524326 BZX524326 CJT524326 CTP524326 DDL524326 DNH524326 DXD524326 EGZ524326 EQV524326 FAR524326 FKN524326 FUJ524326 GEF524326 GOB524326 GXX524326 HHT524326 HRP524326 IBL524326 ILH524326 IVD524326 JEZ524326 JOV524326 JYR524326 KIN524326 KSJ524326 LCF524326 LMB524326 LVX524326 MFT524326 MPP524326 MZL524326 NJH524326 NTD524326 OCZ524326 OMV524326 OWR524326 PGN524326 PQJ524326 QAF524326 QKB524326 QTX524326 RDT524326 RNP524326 RXL524326 SHH524326 SRD524326 TAZ524326 TKV524326 TUR524326 UEN524326 UOJ524326 UYF524326 VIB524326 VRX524326 WBT524326 WLP524326 WVL524326 D589862 IZ589862 SV589862 ACR589862 AMN589862 AWJ589862 BGF589862 BQB589862 BZX589862 CJT589862 CTP589862 DDL589862 DNH589862 DXD589862 EGZ589862 EQV589862 FAR589862 FKN589862 FUJ589862 GEF589862 GOB589862 GXX589862 HHT589862 HRP589862 IBL589862 ILH589862 IVD589862 JEZ589862 JOV589862 JYR589862 KIN589862 KSJ589862 LCF589862 LMB589862 LVX589862 MFT589862 MPP589862 MZL589862 NJH589862 NTD589862 OCZ589862 OMV589862 OWR589862 PGN589862 PQJ589862 QAF589862 QKB589862 QTX589862 RDT589862 RNP589862 RXL589862 SHH589862 SRD589862 TAZ589862 TKV589862 TUR589862 UEN589862 UOJ589862 UYF589862 VIB589862 VRX589862 WBT589862 WLP589862 WVL589862 D655398 IZ655398 SV655398 ACR655398 AMN655398 AWJ655398 BGF655398 BQB655398 BZX655398 CJT655398 CTP655398 DDL655398 DNH655398 DXD655398 EGZ655398 EQV655398 FAR655398 FKN655398 FUJ655398 GEF655398 GOB655398 GXX655398 HHT655398 HRP655398 IBL655398 ILH655398 IVD655398 JEZ655398 JOV655398 JYR655398 KIN655398 KSJ655398 LCF655398 LMB655398 LVX655398 MFT655398 MPP655398 MZL655398 NJH655398 NTD655398 OCZ655398 OMV655398 OWR655398 PGN655398 PQJ655398 QAF655398 QKB655398 QTX655398 RDT655398 RNP655398 RXL655398 SHH655398 SRD655398 TAZ655398 TKV655398 TUR655398 UEN655398 UOJ655398 UYF655398 VIB655398 VRX655398 WBT655398 WLP655398 WVL655398 D720934 IZ720934 SV720934 ACR720934 AMN720934 AWJ720934 BGF720934 BQB720934 BZX720934 CJT720934 CTP720934 DDL720934 DNH720934 DXD720934 EGZ720934 EQV720934 FAR720934 FKN720934 FUJ720934 GEF720934 GOB720934 GXX720934 HHT720934 HRP720934 IBL720934 ILH720934 IVD720934 JEZ720934 JOV720934 JYR720934 KIN720934 KSJ720934 LCF720934 LMB720934 LVX720934 MFT720934 MPP720934 MZL720934 NJH720934 NTD720934 OCZ720934 OMV720934 OWR720934 PGN720934 PQJ720934 QAF720934 QKB720934 QTX720934 RDT720934 RNP720934 RXL720934 SHH720934 SRD720934 TAZ720934 TKV720934 TUR720934 UEN720934 UOJ720934 UYF720934 VIB720934 VRX720934 WBT720934 WLP720934 WVL720934 D786470 IZ786470 SV786470 ACR786470 AMN786470 AWJ786470 BGF786470 BQB786470 BZX786470 CJT786470 CTP786470 DDL786470 DNH786470 DXD786470 EGZ786470 EQV786470 FAR786470 FKN786470 FUJ786470 GEF786470 GOB786470 GXX786470 HHT786470 HRP786470 IBL786470 ILH786470 IVD786470 JEZ786470 JOV786470 JYR786470 KIN786470 KSJ786470 LCF786470 LMB786470 LVX786470 MFT786470 MPP786470 MZL786470 NJH786470 NTD786470 OCZ786470 OMV786470 OWR786470 PGN786470 PQJ786470 QAF786470 QKB786470 QTX786470 RDT786470 RNP786470 RXL786470 SHH786470 SRD786470 TAZ786470 TKV786470 TUR786470 UEN786470 UOJ786470 UYF786470 VIB786470 VRX786470 WBT786470 WLP786470 WVL786470 D852006 IZ852006 SV852006 ACR852006 AMN852006 AWJ852006 BGF852006 BQB852006 BZX852006 CJT852006 CTP852006 DDL852006 DNH852006 DXD852006 EGZ852006 EQV852006 FAR852006 FKN852006 FUJ852006 GEF852006 GOB852006 GXX852006 HHT852006 HRP852006 IBL852006 ILH852006 IVD852006 JEZ852006 JOV852006 JYR852006 KIN852006 KSJ852006 LCF852006 LMB852006 LVX852006 MFT852006 MPP852006 MZL852006 NJH852006 NTD852006 OCZ852006 OMV852006 OWR852006 PGN852006 PQJ852006 QAF852006 QKB852006 QTX852006 RDT852006 RNP852006 RXL852006 SHH852006 SRD852006 TAZ852006 TKV852006 TUR852006 UEN852006 UOJ852006 UYF852006 VIB852006 VRX852006 WBT852006 WLP852006 WVL852006 D917542 IZ917542 SV917542 ACR917542 AMN917542 AWJ917542 BGF917542 BQB917542 BZX917542 CJT917542 CTP917542 DDL917542 DNH917542 DXD917542 EGZ917542 EQV917542 FAR917542 FKN917542 FUJ917542 GEF917542 GOB917542 GXX917542 HHT917542 HRP917542 IBL917542 ILH917542 IVD917542 JEZ917542 JOV917542 JYR917542 KIN917542 KSJ917542 LCF917542 LMB917542 LVX917542 MFT917542 MPP917542 MZL917542 NJH917542 NTD917542 OCZ917542 OMV917542 OWR917542 PGN917542 PQJ917542 QAF917542 QKB917542 QTX917542 RDT917542 RNP917542 RXL917542 SHH917542 SRD917542 TAZ917542 TKV917542 TUR917542 UEN917542 UOJ917542 UYF917542 VIB917542 VRX917542 WBT917542 WLP917542 WVL917542 D983078 IZ983078 SV983078 ACR983078 AMN983078 AWJ983078 BGF983078 BQB983078 BZX983078 CJT983078 CTP983078 DDL983078 DNH983078 DXD983078 EGZ983078 EQV983078 FAR983078 FKN983078 FUJ983078 GEF983078 GOB983078 GXX983078 HHT983078 HRP983078 IBL983078 ILH983078 IVD983078 JEZ983078 JOV983078 JYR983078 KIN983078 KSJ983078 LCF983078 LMB983078 LVX983078 MFT983078 MPP983078 MZL983078 NJH983078 NTD983078 OCZ983078 OMV983078 OWR983078 PGN983078 PQJ983078 QAF983078 QKB983078 QTX983078 RDT983078 RNP983078 RXL983078 SHH983078 SRD983078 TAZ983078 TKV983078 TUR983078 UEN983078 UOJ983078 UYF983078 VIB983078 VRX983078 WBT983078 WLP983078 WVL983078" xr:uid="{7FE49E43-AF8F-4C21-89B1-4AB002EFBCF4}">
      <formula1>"SU-1,SU-6"</formula1>
    </dataValidation>
    <dataValidation type="list" allowBlank="1" showInputMessage="1" showErrorMessage="1" sqref="D42 IZ42 SV42 ACR42 AMN42 AWJ42 BGF42 BQB42 BZX42 CJT42 CTP42 DDL42 DNH42 DXD42 EGZ42 EQV42 FAR42 FKN42 FUJ42 GEF42 GOB42 GXX42 HHT42 HRP42 IBL42 ILH42 IVD42 JEZ42 JOV42 JYR42 KIN42 KSJ42 LCF42 LMB42 LVX42 MFT42 MPP42 MZL42 NJH42 NTD42 OCZ42 OMV42 OWR42 PGN42 PQJ42 QAF42 QKB42 QTX42 RDT42 RNP42 RXL42 SHH42 SRD42 TAZ42 TKV42 TUR42 UEN42 UOJ42 UYF42 VIB42 VRX42 WBT42 WLP42 WVL42 D65578 IZ65578 SV65578 ACR65578 AMN65578 AWJ65578 BGF65578 BQB65578 BZX65578 CJT65578 CTP65578 DDL65578 DNH65578 DXD65578 EGZ65578 EQV65578 FAR65578 FKN65578 FUJ65578 GEF65578 GOB65578 GXX65578 HHT65578 HRP65578 IBL65578 ILH65578 IVD65578 JEZ65578 JOV65578 JYR65578 KIN65578 KSJ65578 LCF65578 LMB65578 LVX65578 MFT65578 MPP65578 MZL65578 NJH65578 NTD65578 OCZ65578 OMV65578 OWR65578 PGN65578 PQJ65578 QAF65578 QKB65578 QTX65578 RDT65578 RNP65578 RXL65578 SHH65578 SRD65578 TAZ65578 TKV65578 TUR65578 UEN65578 UOJ65578 UYF65578 VIB65578 VRX65578 WBT65578 WLP65578 WVL65578 D131114 IZ131114 SV131114 ACR131114 AMN131114 AWJ131114 BGF131114 BQB131114 BZX131114 CJT131114 CTP131114 DDL131114 DNH131114 DXD131114 EGZ131114 EQV131114 FAR131114 FKN131114 FUJ131114 GEF131114 GOB131114 GXX131114 HHT131114 HRP131114 IBL131114 ILH131114 IVD131114 JEZ131114 JOV131114 JYR131114 KIN131114 KSJ131114 LCF131114 LMB131114 LVX131114 MFT131114 MPP131114 MZL131114 NJH131114 NTD131114 OCZ131114 OMV131114 OWR131114 PGN131114 PQJ131114 QAF131114 QKB131114 QTX131114 RDT131114 RNP131114 RXL131114 SHH131114 SRD131114 TAZ131114 TKV131114 TUR131114 UEN131114 UOJ131114 UYF131114 VIB131114 VRX131114 WBT131114 WLP131114 WVL131114 D196650 IZ196650 SV196650 ACR196650 AMN196650 AWJ196650 BGF196650 BQB196650 BZX196650 CJT196650 CTP196650 DDL196650 DNH196650 DXD196650 EGZ196650 EQV196650 FAR196650 FKN196650 FUJ196650 GEF196650 GOB196650 GXX196650 HHT196650 HRP196650 IBL196650 ILH196650 IVD196650 JEZ196650 JOV196650 JYR196650 KIN196650 KSJ196650 LCF196650 LMB196650 LVX196650 MFT196650 MPP196650 MZL196650 NJH196650 NTD196650 OCZ196650 OMV196650 OWR196650 PGN196650 PQJ196650 QAF196650 QKB196650 QTX196650 RDT196650 RNP196650 RXL196650 SHH196650 SRD196650 TAZ196650 TKV196650 TUR196650 UEN196650 UOJ196650 UYF196650 VIB196650 VRX196650 WBT196650 WLP196650 WVL196650 D262186 IZ262186 SV262186 ACR262186 AMN262186 AWJ262186 BGF262186 BQB262186 BZX262186 CJT262186 CTP262186 DDL262186 DNH262186 DXD262186 EGZ262186 EQV262186 FAR262186 FKN262186 FUJ262186 GEF262186 GOB262186 GXX262186 HHT262186 HRP262186 IBL262186 ILH262186 IVD262186 JEZ262186 JOV262186 JYR262186 KIN262186 KSJ262186 LCF262186 LMB262186 LVX262186 MFT262186 MPP262186 MZL262186 NJH262186 NTD262186 OCZ262186 OMV262186 OWR262186 PGN262186 PQJ262186 QAF262186 QKB262186 QTX262186 RDT262186 RNP262186 RXL262186 SHH262186 SRD262186 TAZ262186 TKV262186 TUR262186 UEN262186 UOJ262186 UYF262186 VIB262186 VRX262186 WBT262186 WLP262186 WVL262186 D327722 IZ327722 SV327722 ACR327722 AMN327722 AWJ327722 BGF327722 BQB327722 BZX327722 CJT327722 CTP327722 DDL327722 DNH327722 DXD327722 EGZ327722 EQV327722 FAR327722 FKN327722 FUJ327722 GEF327722 GOB327722 GXX327722 HHT327722 HRP327722 IBL327722 ILH327722 IVD327722 JEZ327722 JOV327722 JYR327722 KIN327722 KSJ327722 LCF327722 LMB327722 LVX327722 MFT327722 MPP327722 MZL327722 NJH327722 NTD327722 OCZ327722 OMV327722 OWR327722 PGN327722 PQJ327722 QAF327722 QKB327722 QTX327722 RDT327722 RNP327722 RXL327722 SHH327722 SRD327722 TAZ327722 TKV327722 TUR327722 UEN327722 UOJ327722 UYF327722 VIB327722 VRX327722 WBT327722 WLP327722 WVL327722 D393258 IZ393258 SV393258 ACR393258 AMN393258 AWJ393258 BGF393258 BQB393258 BZX393258 CJT393258 CTP393258 DDL393258 DNH393258 DXD393258 EGZ393258 EQV393258 FAR393258 FKN393258 FUJ393258 GEF393258 GOB393258 GXX393258 HHT393258 HRP393258 IBL393258 ILH393258 IVD393258 JEZ393258 JOV393258 JYR393258 KIN393258 KSJ393258 LCF393258 LMB393258 LVX393258 MFT393258 MPP393258 MZL393258 NJH393258 NTD393258 OCZ393258 OMV393258 OWR393258 PGN393258 PQJ393258 QAF393258 QKB393258 QTX393258 RDT393258 RNP393258 RXL393258 SHH393258 SRD393258 TAZ393258 TKV393258 TUR393258 UEN393258 UOJ393258 UYF393258 VIB393258 VRX393258 WBT393258 WLP393258 WVL393258 D458794 IZ458794 SV458794 ACR458794 AMN458794 AWJ458794 BGF458794 BQB458794 BZX458794 CJT458794 CTP458794 DDL458794 DNH458794 DXD458794 EGZ458794 EQV458794 FAR458794 FKN458794 FUJ458794 GEF458794 GOB458794 GXX458794 HHT458794 HRP458794 IBL458794 ILH458794 IVD458794 JEZ458794 JOV458794 JYR458794 KIN458794 KSJ458794 LCF458794 LMB458794 LVX458794 MFT458794 MPP458794 MZL458794 NJH458794 NTD458794 OCZ458794 OMV458794 OWR458794 PGN458794 PQJ458794 QAF458794 QKB458794 QTX458794 RDT458794 RNP458794 RXL458794 SHH458794 SRD458794 TAZ458794 TKV458794 TUR458794 UEN458794 UOJ458794 UYF458794 VIB458794 VRX458794 WBT458794 WLP458794 WVL458794 D524330 IZ524330 SV524330 ACR524330 AMN524330 AWJ524330 BGF524330 BQB524330 BZX524330 CJT524330 CTP524330 DDL524330 DNH524330 DXD524330 EGZ524330 EQV524330 FAR524330 FKN524330 FUJ524330 GEF524330 GOB524330 GXX524330 HHT524330 HRP524330 IBL524330 ILH524330 IVD524330 JEZ524330 JOV524330 JYR524330 KIN524330 KSJ524330 LCF524330 LMB524330 LVX524330 MFT524330 MPP524330 MZL524330 NJH524330 NTD524330 OCZ524330 OMV524330 OWR524330 PGN524330 PQJ524330 QAF524330 QKB524330 QTX524330 RDT524330 RNP524330 RXL524330 SHH524330 SRD524330 TAZ524330 TKV524330 TUR524330 UEN524330 UOJ524330 UYF524330 VIB524330 VRX524330 WBT524330 WLP524330 WVL524330 D589866 IZ589866 SV589866 ACR589866 AMN589866 AWJ589866 BGF589866 BQB589866 BZX589866 CJT589866 CTP589866 DDL589866 DNH589866 DXD589866 EGZ589866 EQV589866 FAR589866 FKN589866 FUJ589866 GEF589866 GOB589866 GXX589866 HHT589866 HRP589866 IBL589866 ILH589866 IVD589866 JEZ589866 JOV589866 JYR589866 KIN589866 KSJ589866 LCF589866 LMB589866 LVX589866 MFT589866 MPP589866 MZL589866 NJH589866 NTD589866 OCZ589866 OMV589866 OWR589866 PGN589866 PQJ589866 QAF589866 QKB589866 QTX589866 RDT589866 RNP589866 RXL589866 SHH589866 SRD589866 TAZ589866 TKV589866 TUR589866 UEN589866 UOJ589866 UYF589866 VIB589866 VRX589866 WBT589866 WLP589866 WVL589866 D655402 IZ655402 SV655402 ACR655402 AMN655402 AWJ655402 BGF655402 BQB655402 BZX655402 CJT655402 CTP655402 DDL655402 DNH655402 DXD655402 EGZ655402 EQV655402 FAR655402 FKN655402 FUJ655402 GEF655402 GOB655402 GXX655402 HHT655402 HRP655402 IBL655402 ILH655402 IVD655402 JEZ655402 JOV655402 JYR655402 KIN655402 KSJ655402 LCF655402 LMB655402 LVX655402 MFT655402 MPP655402 MZL655402 NJH655402 NTD655402 OCZ655402 OMV655402 OWR655402 PGN655402 PQJ655402 QAF655402 QKB655402 QTX655402 RDT655402 RNP655402 RXL655402 SHH655402 SRD655402 TAZ655402 TKV655402 TUR655402 UEN655402 UOJ655402 UYF655402 VIB655402 VRX655402 WBT655402 WLP655402 WVL655402 D720938 IZ720938 SV720938 ACR720938 AMN720938 AWJ720938 BGF720938 BQB720938 BZX720938 CJT720938 CTP720938 DDL720938 DNH720938 DXD720938 EGZ720938 EQV720938 FAR720938 FKN720938 FUJ720938 GEF720938 GOB720938 GXX720938 HHT720938 HRP720938 IBL720938 ILH720938 IVD720938 JEZ720938 JOV720938 JYR720938 KIN720938 KSJ720938 LCF720938 LMB720938 LVX720938 MFT720938 MPP720938 MZL720938 NJH720938 NTD720938 OCZ720938 OMV720938 OWR720938 PGN720938 PQJ720938 QAF720938 QKB720938 QTX720938 RDT720938 RNP720938 RXL720938 SHH720938 SRD720938 TAZ720938 TKV720938 TUR720938 UEN720938 UOJ720938 UYF720938 VIB720938 VRX720938 WBT720938 WLP720938 WVL720938 D786474 IZ786474 SV786474 ACR786474 AMN786474 AWJ786474 BGF786474 BQB786474 BZX786474 CJT786474 CTP786474 DDL786474 DNH786474 DXD786474 EGZ786474 EQV786474 FAR786474 FKN786474 FUJ786474 GEF786474 GOB786474 GXX786474 HHT786474 HRP786474 IBL786474 ILH786474 IVD786474 JEZ786474 JOV786474 JYR786474 KIN786474 KSJ786474 LCF786474 LMB786474 LVX786474 MFT786474 MPP786474 MZL786474 NJH786474 NTD786474 OCZ786474 OMV786474 OWR786474 PGN786474 PQJ786474 QAF786474 QKB786474 QTX786474 RDT786474 RNP786474 RXL786474 SHH786474 SRD786474 TAZ786474 TKV786474 TUR786474 UEN786474 UOJ786474 UYF786474 VIB786474 VRX786474 WBT786474 WLP786474 WVL786474 D852010 IZ852010 SV852010 ACR852010 AMN852010 AWJ852010 BGF852010 BQB852010 BZX852010 CJT852010 CTP852010 DDL852010 DNH852010 DXD852010 EGZ852010 EQV852010 FAR852010 FKN852010 FUJ852010 GEF852010 GOB852010 GXX852010 HHT852010 HRP852010 IBL852010 ILH852010 IVD852010 JEZ852010 JOV852010 JYR852010 KIN852010 KSJ852010 LCF852010 LMB852010 LVX852010 MFT852010 MPP852010 MZL852010 NJH852010 NTD852010 OCZ852010 OMV852010 OWR852010 PGN852010 PQJ852010 QAF852010 QKB852010 QTX852010 RDT852010 RNP852010 RXL852010 SHH852010 SRD852010 TAZ852010 TKV852010 TUR852010 UEN852010 UOJ852010 UYF852010 VIB852010 VRX852010 WBT852010 WLP852010 WVL852010 D917546 IZ917546 SV917546 ACR917546 AMN917546 AWJ917546 BGF917546 BQB917546 BZX917546 CJT917546 CTP917546 DDL917546 DNH917546 DXD917546 EGZ917546 EQV917546 FAR917546 FKN917546 FUJ917546 GEF917546 GOB917546 GXX917546 HHT917546 HRP917546 IBL917546 ILH917546 IVD917546 JEZ917546 JOV917546 JYR917546 KIN917546 KSJ917546 LCF917546 LMB917546 LVX917546 MFT917546 MPP917546 MZL917546 NJH917546 NTD917546 OCZ917546 OMV917546 OWR917546 PGN917546 PQJ917546 QAF917546 QKB917546 QTX917546 RDT917546 RNP917546 RXL917546 SHH917546 SRD917546 TAZ917546 TKV917546 TUR917546 UEN917546 UOJ917546 UYF917546 VIB917546 VRX917546 WBT917546 WLP917546 WVL917546 D983082 IZ983082 SV983082 ACR983082 AMN983082 AWJ983082 BGF983082 BQB983082 BZX983082 CJT983082 CTP983082 DDL983082 DNH983082 DXD983082 EGZ983082 EQV983082 FAR983082 FKN983082 FUJ983082 GEF983082 GOB983082 GXX983082 HHT983082 HRP983082 IBL983082 ILH983082 IVD983082 JEZ983082 JOV983082 JYR983082 KIN983082 KSJ983082 LCF983082 LMB983082 LVX983082 MFT983082 MPP983082 MZL983082 NJH983082 NTD983082 OCZ983082 OMV983082 OWR983082 PGN983082 PQJ983082 QAF983082 QKB983082 QTX983082 RDT983082 RNP983082 RXL983082 SHH983082 SRD983082 TAZ983082 TKV983082 TUR983082 UEN983082 UOJ983082 UYF983082 VIB983082 VRX983082 WBT983082 WLP983082 WVL983082" xr:uid="{032FBBCF-F938-4F16-8B51-BE88F134C47E}">
      <formula1>"SPEC, Client"</formula1>
    </dataValidation>
    <dataValidation type="list" allowBlank="1" showInputMessage="1" showErrorMessage="1" sqref="D40 IZ40 SV40 ACR40 AMN40 AWJ40 BGF40 BQB40 BZX40 CJT40 CTP40 DDL40 DNH40 DXD40 EGZ40 EQV40 FAR40 FKN40 FUJ40 GEF40 GOB40 GXX40 HHT40 HRP40 IBL40 ILH40 IVD40 JEZ40 JOV40 JYR40 KIN40 KSJ40 LCF40 LMB40 LVX40 MFT40 MPP40 MZL40 NJH40 NTD40 OCZ40 OMV40 OWR40 PGN40 PQJ40 QAF40 QKB40 QTX40 RDT40 RNP40 RXL40 SHH40 SRD40 TAZ40 TKV40 TUR40 UEN40 UOJ40 UYF40 VIB40 VRX40 WBT40 WLP40 WVL40 D65576 IZ65576 SV65576 ACR65576 AMN65576 AWJ65576 BGF65576 BQB65576 BZX65576 CJT65576 CTP65576 DDL65576 DNH65576 DXD65576 EGZ65576 EQV65576 FAR65576 FKN65576 FUJ65576 GEF65576 GOB65576 GXX65576 HHT65576 HRP65576 IBL65576 ILH65576 IVD65576 JEZ65576 JOV65576 JYR65576 KIN65576 KSJ65576 LCF65576 LMB65576 LVX65576 MFT65576 MPP65576 MZL65576 NJH65576 NTD65576 OCZ65576 OMV65576 OWR65576 PGN65576 PQJ65576 QAF65576 QKB65576 QTX65576 RDT65576 RNP65576 RXL65576 SHH65576 SRD65576 TAZ65576 TKV65576 TUR65576 UEN65576 UOJ65576 UYF65576 VIB65576 VRX65576 WBT65576 WLP65576 WVL65576 D131112 IZ131112 SV131112 ACR131112 AMN131112 AWJ131112 BGF131112 BQB131112 BZX131112 CJT131112 CTP131112 DDL131112 DNH131112 DXD131112 EGZ131112 EQV131112 FAR131112 FKN131112 FUJ131112 GEF131112 GOB131112 GXX131112 HHT131112 HRP131112 IBL131112 ILH131112 IVD131112 JEZ131112 JOV131112 JYR131112 KIN131112 KSJ131112 LCF131112 LMB131112 LVX131112 MFT131112 MPP131112 MZL131112 NJH131112 NTD131112 OCZ131112 OMV131112 OWR131112 PGN131112 PQJ131112 QAF131112 QKB131112 QTX131112 RDT131112 RNP131112 RXL131112 SHH131112 SRD131112 TAZ131112 TKV131112 TUR131112 UEN131112 UOJ131112 UYF131112 VIB131112 VRX131112 WBT131112 WLP131112 WVL131112 D196648 IZ196648 SV196648 ACR196648 AMN196648 AWJ196648 BGF196648 BQB196648 BZX196648 CJT196648 CTP196648 DDL196648 DNH196648 DXD196648 EGZ196648 EQV196648 FAR196648 FKN196648 FUJ196648 GEF196648 GOB196648 GXX196648 HHT196648 HRP196648 IBL196648 ILH196648 IVD196648 JEZ196648 JOV196648 JYR196648 KIN196648 KSJ196648 LCF196648 LMB196648 LVX196648 MFT196648 MPP196648 MZL196648 NJH196648 NTD196648 OCZ196648 OMV196648 OWR196648 PGN196648 PQJ196648 QAF196648 QKB196648 QTX196648 RDT196648 RNP196648 RXL196648 SHH196648 SRD196648 TAZ196648 TKV196648 TUR196648 UEN196648 UOJ196648 UYF196648 VIB196648 VRX196648 WBT196648 WLP196648 WVL196648 D262184 IZ262184 SV262184 ACR262184 AMN262184 AWJ262184 BGF262184 BQB262184 BZX262184 CJT262184 CTP262184 DDL262184 DNH262184 DXD262184 EGZ262184 EQV262184 FAR262184 FKN262184 FUJ262184 GEF262184 GOB262184 GXX262184 HHT262184 HRP262184 IBL262184 ILH262184 IVD262184 JEZ262184 JOV262184 JYR262184 KIN262184 KSJ262184 LCF262184 LMB262184 LVX262184 MFT262184 MPP262184 MZL262184 NJH262184 NTD262184 OCZ262184 OMV262184 OWR262184 PGN262184 PQJ262184 QAF262184 QKB262184 QTX262184 RDT262184 RNP262184 RXL262184 SHH262184 SRD262184 TAZ262184 TKV262184 TUR262184 UEN262184 UOJ262184 UYF262184 VIB262184 VRX262184 WBT262184 WLP262184 WVL262184 D327720 IZ327720 SV327720 ACR327720 AMN327720 AWJ327720 BGF327720 BQB327720 BZX327720 CJT327720 CTP327720 DDL327720 DNH327720 DXD327720 EGZ327720 EQV327720 FAR327720 FKN327720 FUJ327720 GEF327720 GOB327720 GXX327720 HHT327720 HRP327720 IBL327720 ILH327720 IVD327720 JEZ327720 JOV327720 JYR327720 KIN327720 KSJ327720 LCF327720 LMB327720 LVX327720 MFT327720 MPP327720 MZL327720 NJH327720 NTD327720 OCZ327720 OMV327720 OWR327720 PGN327720 PQJ327720 QAF327720 QKB327720 QTX327720 RDT327720 RNP327720 RXL327720 SHH327720 SRD327720 TAZ327720 TKV327720 TUR327720 UEN327720 UOJ327720 UYF327720 VIB327720 VRX327720 WBT327720 WLP327720 WVL327720 D393256 IZ393256 SV393256 ACR393256 AMN393256 AWJ393256 BGF393256 BQB393256 BZX393256 CJT393256 CTP393256 DDL393256 DNH393256 DXD393256 EGZ393256 EQV393256 FAR393256 FKN393256 FUJ393256 GEF393256 GOB393256 GXX393256 HHT393256 HRP393256 IBL393256 ILH393256 IVD393256 JEZ393256 JOV393256 JYR393256 KIN393256 KSJ393256 LCF393256 LMB393256 LVX393256 MFT393256 MPP393256 MZL393256 NJH393256 NTD393256 OCZ393256 OMV393256 OWR393256 PGN393256 PQJ393256 QAF393256 QKB393256 QTX393256 RDT393256 RNP393256 RXL393256 SHH393256 SRD393256 TAZ393256 TKV393256 TUR393256 UEN393256 UOJ393256 UYF393256 VIB393256 VRX393256 WBT393256 WLP393256 WVL393256 D458792 IZ458792 SV458792 ACR458792 AMN458792 AWJ458792 BGF458792 BQB458792 BZX458792 CJT458792 CTP458792 DDL458792 DNH458792 DXD458792 EGZ458792 EQV458792 FAR458792 FKN458792 FUJ458792 GEF458792 GOB458792 GXX458792 HHT458792 HRP458792 IBL458792 ILH458792 IVD458792 JEZ458792 JOV458792 JYR458792 KIN458792 KSJ458792 LCF458792 LMB458792 LVX458792 MFT458792 MPP458792 MZL458792 NJH458792 NTD458792 OCZ458792 OMV458792 OWR458792 PGN458792 PQJ458792 QAF458792 QKB458792 QTX458792 RDT458792 RNP458792 RXL458792 SHH458792 SRD458792 TAZ458792 TKV458792 TUR458792 UEN458792 UOJ458792 UYF458792 VIB458792 VRX458792 WBT458792 WLP458792 WVL458792 D524328 IZ524328 SV524328 ACR524328 AMN524328 AWJ524328 BGF524328 BQB524328 BZX524328 CJT524328 CTP524328 DDL524328 DNH524328 DXD524328 EGZ524328 EQV524328 FAR524328 FKN524328 FUJ524328 GEF524328 GOB524328 GXX524328 HHT524328 HRP524328 IBL524328 ILH524328 IVD524328 JEZ524328 JOV524328 JYR524328 KIN524328 KSJ524328 LCF524328 LMB524328 LVX524328 MFT524328 MPP524328 MZL524328 NJH524328 NTD524328 OCZ524328 OMV524328 OWR524328 PGN524328 PQJ524328 QAF524328 QKB524328 QTX524328 RDT524328 RNP524328 RXL524328 SHH524328 SRD524328 TAZ524328 TKV524328 TUR524328 UEN524328 UOJ524328 UYF524328 VIB524328 VRX524328 WBT524328 WLP524328 WVL524328 D589864 IZ589864 SV589864 ACR589864 AMN589864 AWJ589864 BGF589864 BQB589864 BZX589864 CJT589864 CTP589864 DDL589864 DNH589864 DXD589864 EGZ589864 EQV589864 FAR589864 FKN589864 FUJ589864 GEF589864 GOB589864 GXX589864 HHT589864 HRP589864 IBL589864 ILH589864 IVD589864 JEZ589864 JOV589864 JYR589864 KIN589864 KSJ589864 LCF589864 LMB589864 LVX589864 MFT589864 MPP589864 MZL589864 NJH589864 NTD589864 OCZ589864 OMV589864 OWR589864 PGN589864 PQJ589864 QAF589864 QKB589864 QTX589864 RDT589864 RNP589864 RXL589864 SHH589864 SRD589864 TAZ589864 TKV589864 TUR589864 UEN589864 UOJ589864 UYF589864 VIB589864 VRX589864 WBT589864 WLP589864 WVL589864 D655400 IZ655400 SV655400 ACR655400 AMN655400 AWJ655400 BGF655400 BQB655400 BZX655400 CJT655400 CTP655400 DDL655400 DNH655400 DXD655400 EGZ655400 EQV655400 FAR655400 FKN655400 FUJ655400 GEF655400 GOB655400 GXX655400 HHT655400 HRP655400 IBL655400 ILH655400 IVD655400 JEZ655400 JOV655400 JYR655400 KIN655400 KSJ655400 LCF655400 LMB655400 LVX655400 MFT655400 MPP655400 MZL655400 NJH655400 NTD655400 OCZ655400 OMV655400 OWR655400 PGN655400 PQJ655400 QAF655400 QKB655400 QTX655400 RDT655400 RNP655400 RXL655400 SHH655400 SRD655400 TAZ655400 TKV655400 TUR655400 UEN655400 UOJ655400 UYF655400 VIB655400 VRX655400 WBT655400 WLP655400 WVL655400 D720936 IZ720936 SV720936 ACR720936 AMN720936 AWJ720936 BGF720936 BQB720936 BZX720936 CJT720936 CTP720936 DDL720936 DNH720936 DXD720936 EGZ720936 EQV720936 FAR720936 FKN720936 FUJ720936 GEF720936 GOB720936 GXX720936 HHT720936 HRP720936 IBL720936 ILH720936 IVD720936 JEZ720936 JOV720936 JYR720936 KIN720936 KSJ720936 LCF720936 LMB720936 LVX720936 MFT720936 MPP720936 MZL720936 NJH720936 NTD720936 OCZ720936 OMV720936 OWR720936 PGN720936 PQJ720936 QAF720936 QKB720936 QTX720936 RDT720936 RNP720936 RXL720936 SHH720936 SRD720936 TAZ720936 TKV720936 TUR720936 UEN720936 UOJ720936 UYF720936 VIB720936 VRX720936 WBT720936 WLP720936 WVL720936 D786472 IZ786472 SV786472 ACR786472 AMN786472 AWJ786472 BGF786472 BQB786472 BZX786472 CJT786472 CTP786472 DDL786472 DNH786472 DXD786472 EGZ786472 EQV786472 FAR786472 FKN786472 FUJ786472 GEF786472 GOB786472 GXX786472 HHT786472 HRP786472 IBL786472 ILH786472 IVD786472 JEZ786472 JOV786472 JYR786472 KIN786472 KSJ786472 LCF786472 LMB786472 LVX786472 MFT786472 MPP786472 MZL786472 NJH786472 NTD786472 OCZ786472 OMV786472 OWR786472 PGN786472 PQJ786472 QAF786472 QKB786472 QTX786472 RDT786472 RNP786472 RXL786472 SHH786472 SRD786472 TAZ786472 TKV786472 TUR786472 UEN786472 UOJ786472 UYF786472 VIB786472 VRX786472 WBT786472 WLP786472 WVL786472 D852008 IZ852008 SV852008 ACR852008 AMN852008 AWJ852008 BGF852008 BQB852008 BZX852008 CJT852008 CTP852008 DDL852008 DNH852008 DXD852008 EGZ852008 EQV852008 FAR852008 FKN852008 FUJ852008 GEF852008 GOB852008 GXX852008 HHT852008 HRP852008 IBL852008 ILH852008 IVD852008 JEZ852008 JOV852008 JYR852008 KIN852008 KSJ852008 LCF852008 LMB852008 LVX852008 MFT852008 MPP852008 MZL852008 NJH852008 NTD852008 OCZ852008 OMV852008 OWR852008 PGN852008 PQJ852008 QAF852008 QKB852008 QTX852008 RDT852008 RNP852008 RXL852008 SHH852008 SRD852008 TAZ852008 TKV852008 TUR852008 UEN852008 UOJ852008 UYF852008 VIB852008 VRX852008 WBT852008 WLP852008 WVL852008 D917544 IZ917544 SV917544 ACR917544 AMN917544 AWJ917544 BGF917544 BQB917544 BZX917544 CJT917544 CTP917544 DDL917544 DNH917544 DXD917544 EGZ917544 EQV917544 FAR917544 FKN917544 FUJ917544 GEF917544 GOB917544 GXX917544 HHT917544 HRP917544 IBL917544 ILH917544 IVD917544 JEZ917544 JOV917544 JYR917544 KIN917544 KSJ917544 LCF917544 LMB917544 LVX917544 MFT917544 MPP917544 MZL917544 NJH917544 NTD917544 OCZ917544 OMV917544 OWR917544 PGN917544 PQJ917544 QAF917544 QKB917544 QTX917544 RDT917544 RNP917544 RXL917544 SHH917544 SRD917544 TAZ917544 TKV917544 TUR917544 UEN917544 UOJ917544 UYF917544 VIB917544 VRX917544 WBT917544 WLP917544 WVL917544 D983080 IZ983080 SV983080 ACR983080 AMN983080 AWJ983080 BGF983080 BQB983080 BZX983080 CJT983080 CTP983080 DDL983080 DNH983080 DXD983080 EGZ983080 EQV983080 FAR983080 FKN983080 FUJ983080 GEF983080 GOB983080 GXX983080 HHT983080 HRP983080 IBL983080 ILH983080 IVD983080 JEZ983080 JOV983080 JYR983080 KIN983080 KSJ983080 LCF983080 LMB983080 LVX983080 MFT983080 MPP983080 MZL983080 NJH983080 NTD983080 OCZ983080 OMV983080 OWR983080 PGN983080 PQJ983080 QAF983080 QKB983080 QTX983080 RDT983080 RNP983080 RXL983080 SHH983080 SRD983080 TAZ983080 TKV983080 TUR983080 UEN983080 UOJ983080 UYF983080 VIB983080 VRX983080 WBT983080 WLP983080 WVL983080" xr:uid="{0A849DC2-8F9D-4E2D-937F-B68E6E840BD9}">
      <formula1>"SM24,UM2,OYO,OTHER"</formula1>
    </dataValidation>
    <dataValidation type="list" errorStyle="information" allowBlank="1" showInputMessage="1" showErrorMessage="1" errorTitle="Enter Helicopter Type" error="Enter Type of Helicopter from the following_x000a_206B_x000a_H500D_x000a_ASTAR-B_x000a_ASTAR-BA_x000a_ASTAR-B1_x000a_ASTAR-B2_x000a_B204_x000a_B205_x000a_B212" sqref="D173:D176 IZ173:IZ176 SV173:SV176 ACR173:ACR176 AMN173:AMN176 AWJ173:AWJ176 BGF173:BGF176 BQB173:BQB176 BZX173:BZX176 CJT173:CJT176 CTP173:CTP176 DDL173:DDL176 DNH173:DNH176 DXD173:DXD176 EGZ173:EGZ176 EQV173:EQV176 FAR173:FAR176 FKN173:FKN176 FUJ173:FUJ176 GEF173:GEF176 GOB173:GOB176 GXX173:GXX176 HHT173:HHT176 HRP173:HRP176 IBL173:IBL176 ILH173:ILH176 IVD173:IVD176 JEZ173:JEZ176 JOV173:JOV176 JYR173:JYR176 KIN173:KIN176 KSJ173:KSJ176 LCF173:LCF176 LMB173:LMB176 LVX173:LVX176 MFT173:MFT176 MPP173:MPP176 MZL173:MZL176 NJH173:NJH176 NTD173:NTD176 OCZ173:OCZ176 OMV173:OMV176 OWR173:OWR176 PGN173:PGN176 PQJ173:PQJ176 QAF173:QAF176 QKB173:QKB176 QTX173:QTX176 RDT173:RDT176 RNP173:RNP176 RXL173:RXL176 SHH173:SHH176 SRD173:SRD176 TAZ173:TAZ176 TKV173:TKV176 TUR173:TUR176 UEN173:UEN176 UOJ173:UOJ176 UYF173:UYF176 VIB173:VIB176 VRX173:VRX176 WBT173:WBT176 WLP173:WLP176 WVL173:WVL176 D65709:D65712 IZ65709:IZ65712 SV65709:SV65712 ACR65709:ACR65712 AMN65709:AMN65712 AWJ65709:AWJ65712 BGF65709:BGF65712 BQB65709:BQB65712 BZX65709:BZX65712 CJT65709:CJT65712 CTP65709:CTP65712 DDL65709:DDL65712 DNH65709:DNH65712 DXD65709:DXD65712 EGZ65709:EGZ65712 EQV65709:EQV65712 FAR65709:FAR65712 FKN65709:FKN65712 FUJ65709:FUJ65712 GEF65709:GEF65712 GOB65709:GOB65712 GXX65709:GXX65712 HHT65709:HHT65712 HRP65709:HRP65712 IBL65709:IBL65712 ILH65709:ILH65712 IVD65709:IVD65712 JEZ65709:JEZ65712 JOV65709:JOV65712 JYR65709:JYR65712 KIN65709:KIN65712 KSJ65709:KSJ65712 LCF65709:LCF65712 LMB65709:LMB65712 LVX65709:LVX65712 MFT65709:MFT65712 MPP65709:MPP65712 MZL65709:MZL65712 NJH65709:NJH65712 NTD65709:NTD65712 OCZ65709:OCZ65712 OMV65709:OMV65712 OWR65709:OWR65712 PGN65709:PGN65712 PQJ65709:PQJ65712 QAF65709:QAF65712 QKB65709:QKB65712 QTX65709:QTX65712 RDT65709:RDT65712 RNP65709:RNP65712 RXL65709:RXL65712 SHH65709:SHH65712 SRD65709:SRD65712 TAZ65709:TAZ65712 TKV65709:TKV65712 TUR65709:TUR65712 UEN65709:UEN65712 UOJ65709:UOJ65712 UYF65709:UYF65712 VIB65709:VIB65712 VRX65709:VRX65712 WBT65709:WBT65712 WLP65709:WLP65712 WVL65709:WVL65712 D131245:D131248 IZ131245:IZ131248 SV131245:SV131248 ACR131245:ACR131248 AMN131245:AMN131248 AWJ131245:AWJ131248 BGF131245:BGF131248 BQB131245:BQB131248 BZX131245:BZX131248 CJT131245:CJT131248 CTP131245:CTP131248 DDL131245:DDL131248 DNH131245:DNH131248 DXD131245:DXD131248 EGZ131245:EGZ131248 EQV131245:EQV131248 FAR131245:FAR131248 FKN131245:FKN131248 FUJ131245:FUJ131248 GEF131245:GEF131248 GOB131245:GOB131248 GXX131245:GXX131248 HHT131245:HHT131248 HRP131245:HRP131248 IBL131245:IBL131248 ILH131245:ILH131248 IVD131245:IVD131248 JEZ131245:JEZ131248 JOV131245:JOV131248 JYR131245:JYR131248 KIN131245:KIN131248 KSJ131245:KSJ131248 LCF131245:LCF131248 LMB131245:LMB131248 LVX131245:LVX131248 MFT131245:MFT131248 MPP131245:MPP131248 MZL131245:MZL131248 NJH131245:NJH131248 NTD131245:NTD131248 OCZ131245:OCZ131248 OMV131245:OMV131248 OWR131245:OWR131248 PGN131245:PGN131248 PQJ131245:PQJ131248 QAF131245:QAF131248 QKB131245:QKB131248 QTX131245:QTX131248 RDT131245:RDT131248 RNP131245:RNP131248 RXL131245:RXL131248 SHH131245:SHH131248 SRD131245:SRD131248 TAZ131245:TAZ131248 TKV131245:TKV131248 TUR131245:TUR131248 UEN131245:UEN131248 UOJ131245:UOJ131248 UYF131245:UYF131248 VIB131245:VIB131248 VRX131245:VRX131248 WBT131245:WBT131248 WLP131245:WLP131248 WVL131245:WVL131248 D196781:D196784 IZ196781:IZ196784 SV196781:SV196784 ACR196781:ACR196784 AMN196781:AMN196784 AWJ196781:AWJ196784 BGF196781:BGF196784 BQB196781:BQB196784 BZX196781:BZX196784 CJT196781:CJT196784 CTP196781:CTP196784 DDL196781:DDL196784 DNH196781:DNH196784 DXD196781:DXD196784 EGZ196781:EGZ196784 EQV196781:EQV196784 FAR196781:FAR196784 FKN196781:FKN196784 FUJ196781:FUJ196784 GEF196781:GEF196784 GOB196781:GOB196784 GXX196781:GXX196784 HHT196781:HHT196784 HRP196781:HRP196784 IBL196781:IBL196784 ILH196781:ILH196784 IVD196781:IVD196784 JEZ196781:JEZ196784 JOV196781:JOV196784 JYR196781:JYR196784 KIN196781:KIN196784 KSJ196781:KSJ196784 LCF196781:LCF196784 LMB196781:LMB196784 LVX196781:LVX196784 MFT196781:MFT196784 MPP196781:MPP196784 MZL196781:MZL196784 NJH196781:NJH196784 NTD196781:NTD196784 OCZ196781:OCZ196784 OMV196781:OMV196784 OWR196781:OWR196784 PGN196781:PGN196784 PQJ196781:PQJ196784 QAF196781:QAF196784 QKB196781:QKB196784 QTX196781:QTX196784 RDT196781:RDT196784 RNP196781:RNP196784 RXL196781:RXL196784 SHH196781:SHH196784 SRD196781:SRD196784 TAZ196781:TAZ196784 TKV196781:TKV196784 TUR196781:TUR196784 UEN196781:UEN196784 UOJ196781:UOJ196784 UYF196781:UYF196784 VIB196781:VIB196784 VRX196781:VRX196784 WBT196781:WBT196784 WLP196781:WLP196784 WVL196781:WVL196784 D262317:D262320 IZ262317:IZ262320 SV262317:SV262320 ACR262317:ACR262320 AMN262317:AMN262320 AWJ262317:AWJ262320 BGF262317:BGF262320 BQB262317:BQB262320 BZX262317:BZX262320 CJT262317:CJT262320 CTP262317:CTP262320 DDL262317:DDL262320 DNH262317:DNH262320 DXD262317:DXD262320 EGZ262317:EGZ262320 EQV262317:EQV262320 FAR262317:FAR262320 FKN262317:FKN262320 FUJ262317:FUJ262320 GEF262317:GEF262320 GOB262317:GOB262320 GXX262317:GXX262320 HHT262317:HHT262320 HRP262317:HRP262320 IBL262317:IBL262320 ILH262317:ILH262320 IVD262317:IVD262320 JEZ262317:JEZ262320 JOV262317:JOV262320 JYR262317:JYR262320 KIN262317:KIN262320 KSJ262317:KSJ262320 LCF262317:LCF262320 LMB262317:LMB262320 LVX262317:LVX262320 MFT262317:MFT262320 MPP262317:MPP262320 MZL262317:MZL262320 NJH262317:NJH262320 NTD262317:NTD262320 OCZ262317:OCZ262320 OMV262317:OMV262320 OWR262317:OWR262320 PGN262317:PGN262320 PQJ262317:PQJ262320 QAF262317:QAF262320 QKB262317:QKB262320 QTX262317:QTX262320 RDT262317:RDT262320 RNP262317:RNP262320 RXL262317:RXL262320 SHH262317:SHH262320 SRD262317:SRD262320 TAZ262317:TAZ262320 TKV262317:TKV262320 TUR262317:TUR262320 UEN262317:UEN262320 UOJ262317:UOJ262320 UYF262317:UYF262320 VIB262317:VIB262320 VRX262317:VRX262320 WBT262317:WBT262320 WLP262317:WLP262320 WVL262317:WVL262320 D327853:D327856 IZ327853:IZ327856 SV327853:SV327856 ACR327853:ACR327856 AMN327853:AMN327856 AWJ327853:AWJ327856 BGF327853:BGF327856 BQB327853:BQB327856 BZX327853:BZX327856 CJT327853:CJT327856 CTP327853:CTP327856 DDL327853:DDL327856 DNH327853:DNH327856 DXD327853:DXD327856 EGZ327853:EGZ327856 EQV327853:EQV327856 FAR327853:FAR327856 FKN327853:FKN327856 FUJ327853:FUJ327856 GEF327853:GEF327856 GOB327853:GOB327856 GXX327853:GXX327856 HHT327853:HHT327856 HRP327853:HRP327856 IBL327853:IBL327856 ILH327853:ILH327856 IVD327853:IVD327856 JEZ327853:JEZ327856 JOV327853:JOV327856 JYR327853:JYR327856 KIN327853:KIN327856 KSJ327853:KSJ327856 LCF327853:LCF327856 LMB327853:LMB327856 LVX327853:LVX327856 MFT327853:MFT327856 MPP327853:MPP327856 MZL327853:MZL327856 NJH327853:NJH327856 NTD327853:NTD327856 OCZ327853:OCZ327856 OMV327853:OMV327856 OWR327853:OWR327856 PGN327853:PGN327856 PQJ327853:PQJ327856 QAF327853:QAF327856 QKB327853:QKB327856 QTX327853:QTX327856 RDT327853:RDT327856 RNP327853:RNP327856 RXL327853:RXL327856 SHH327853:SHH327856 SRD327853:SRD327856 TAZ327853:TAZ327856 TKV327853:TKV327856 TUR327853:TUR327856 UEN327853:UEN327856 UOJ327853:UOJ327856 UYF327853:UYF327856 VIB327853:VIB327856 VRX327853:VRX327856 WBT327853:WBT327856 WLP327853:WLP327856 WVL327853:WVL327856 D393389:D393392 IZ393389:IZ393392 SV393389:SV393392 ACR393389:ACR393392 AMN393389:AMN393392 AWJ393389:AWJ393392 BGF393389:BGF393392 BQB393389:BQB393392 BZX393389:BZX393392 CJT393389:CJT393392 CTP393389:CTP393392 DDL393389:DDL393392 DNH393389:DNH393392 DXD393389:DXD393392 EGZ393389:EGZ393392 EQV393389:EQV393392 FAR393389:FAR393392 FKN393389:FKN393392 FUJ393389:FUJ393392 GEF393389:GEF393392 GOB393389:GOB393392 GXX393389:GXX393392 HHT393389:HHT393392 HRP393389:HRP393392 IBL393389:IBL393392 ILH393389:ILH393392 IVD393389:IVD393392 JEZ393389:JEZ393392 JOV393389:JOV393392 JYR393389:JYR393392 KIN393389:KIN393392 KSJ393389:KSJ393392 LCF393389:LCF393392 LMB393389:LMB393392 LVX393389:LVX393392 MFT393389:MFT393392 MPP393389:MPP393392 MZL393389:MZL393392 NJH393389:NJH393392 NTD393389:NTD393392 OCZ393389:OCZ393392 OMV393389:OMV393392 OWR393389:OWR393392 PGN393389:PGN393392 PQJ393389:PQJ393392 QAF393389:QAF393392 QKB393389:QKB393392 QTX393389:QTX393392 RDT393389:RDT393392 RNP393389:RNP393392 RXL393389:RXL393392 SHH393389:SHH393392 SRD393389:SRD393392 TAZ393389:TAZ393392 TKV393389:TKV393392 TUR393389:TUR393392 UEN393389:UEN393392 UOJ393389:UOJ393392 UYF393389:UYF393392 VIB393389:VIB393392 VRX393389:VRX393392 WBT393389:WBT393392 WLP393389:WLP393392 WVL393389:WVL393392 D458925:D458928 IZ458925:IZ458928 SV458925:SV458928 ACR458925:ACR458928 AMN458925:AMN458928 AWJ458925:AWJ458928 BGF458925:BGF458928 BQB458925:BQB458928 BZX458925:BZX458928 CJT458925:CJT458928 CTP458925:CTP458928 DDL458925:DDL458928 DNH458925:DNH458928 DXD458925:DXD458928 EGZ458925:EGZ458928 EQV458925:EQV458928 FAR458925:FAR458928 FKN458925:FKN458928 FUJ458925:FUJ458928 GEF458925:GEF458928 GOB458925:GOB458928 GXX458925:GXX458928 HHT458925:HHT458928 HRP458925:HRP458928 IBL458925:IBL458928 ILH458925:ILH458928 IVD458925:IVD458928 JEZ458925:JEZ458928 JOV458925:JOV458928 JYR458925:JYR458928 KIN458925:KIN458928 KSJ458925:KSJ458928 LCF458925:LCF458928 LMB458925:LMB458928 LVX458925:LVX458928 MFT458925:MFT458928 MPP458925:MPP458928 MZL458925:MZL458928 NJH458925:NJH458928 NTD458925:NTD458928 OCZ458925:OCZ458928 OMV458925:OMV458928 OWR458925:OWR458928 PGN458925:PGN458928 PQJ458925:PQJ458928 QAF458925:QAF458928 QKB458925:QKB458928 QTX458925:QTX458928 RDT458925:RDT458928 RNP458925:RNP458928 RXL458925:RXL458928 SHH458925:SHH458928 SRD458925:SRD458928 TAZ458925:TAZ458928 TKV458925:TKV458928 TUR458925:TUR458928 UEN458925:UEN458928 UOJ458925:UOJ458928 UYF458925:UYF458928 VIB458925:VIB458928 VRX458925:VRX458928 WBT458925:WBT458928 WLP458925:WLP458928 WVL458925:WVL458928 D524461:D524464 IZ524461:IZ524464 SV524461:SV524464 ACR524461:ACR524464 AMN524461:AMN524464 AWJ524461:AWJ524464 BGF524461:BGF524464 BQB524461:BQB524464 BZX524461:BZX524464 CJT524461:CJT524464 CTP524461:CTP524464 DDL524461:DDL524464 DNH524461:DNH524464 DXD524461:DXD524464 EGZ524461:EGZ524464 EQV524461:EQV524464 FAR524461:FAR524464 FKN524461:FKN524464 FUJ524461:FUJ524464 GEF524461:GEF524464 GOB524461:GOB524464 GXX524461:GXX524464 HHT524461:HHT524464 HRP524461:HRP524464 IBL524461:IBL524464 ILH524461:ILH524464 IVD524461:IVD524464 JEZ524461:JEZ524464 JOV524461:JOV524464 JYR524461:JYR524464 KIN524461:KIN524464 KSJ524461:KSJ524464 LCF524461:LCF524464 LMB524461:LMB524464 LVX524461:LVX524464 MFT524461:MFT524464 MPP524461:MPP524464 MZL524461:MZL524464 NJH524461:NJH524464 NTD524461:NTD524464 OCZ524461:OCZ524464 OMV524461:OMV524464 OWR524461:OWR524464 PGN524461:PGN524464 PQJ524461:PQJ524464 QAF524461:QAF524464 QKB524461:QKB524464 QTX524461:QTX524464 RDT524461:RDT524464 RNP524461:RNP524464 RXL524461:RXL524464 SHH524461:SHH524464 SRD524461:SRD524464 TAZ524461:TAZ524464 TKV524461:TKV524464 TUR524461:TUR524464 UEN524461:UEN524464 UOJ524461:UOJ524464 UYF524461:UYF524464 VIB524461:VIB524464 VRX524461:VRX524464 WBT524461:WBT524464 WLP524461:WLP524464 WVL524461:WVL524464 D589997:D590000 IZ589997:IZ590000 SV589997:SV590000 ACR589997:ACR590000 AMN589997:AMN590000 AWJ589997:AWJ590000 BGF589997:BGF590000 BQB589997:BQB590000 BZX589997:BZX590000 CJT589997:CJT590000 CTP589997:CTP590000 DDL589997:DDL590000 DNH589997:DNH590000 DXD589997:DXD590000 EGZ589997:EGZ590000 EQV589997:EQV590000 FAR589997:FAR590000 FKN589997:FKN590000 FUJ589997:FUJ590000 GEF589997:GEF590000 GOB589997:GOB590000 GXX589997:GXX590000 HHT589997:HHT590000 HRP589997:HRP590000 IBL589997:IBL590000 ILH589997:ILH590000 IVD589997:IVD590000 JEZ589997:JEZ590000 JOV589997:JOV590000 JYR589997:JYR590000 KIN589997:KIN590000 KSJ589997:KSJ590000 LCF589997:LCF590000 LMB589997:LMB590000 LVX589997:LVX590000 MFT589997:MFT590000 MPP589997:MPP590000 MZL589997:MZL590000 NJH589997:NJH590000 NTD589997:NTD590000 OCZ589997:OCZ590000 OMV589997:OMV590000 OWR589997:OWR590000 PGN589997:PGN590000 PQJ589997:PQJ590000 QAF589997:QAF590000 QKB589997:QKB590000 QTX589997:QTX590000 RDT589997:RDT590000 RNP589997:RNP590000 RXL589997:RXL590000 SHH589997:SHH590000 SRD589997:SRD590000 TAZ589997:TAZ590000 TKV589997:TKV590000 TUR589997:TUR590000 UEN589997:UEN590000 UOJ589997:UOJ590000 UYF589997:UYF590000 VIB589997:VIB590000 VRX589997:VRX590000 WBT589997:WBT590000 WLP589997:WLP590000 WVL589997:WVL590000 D655533:D655536 IZ655533:IZ655536 SV655533:SV655536 ACR655533:ACR655536 AMN655533:AMN655536 AWJ655533:AWJ655536 BGF655533:BGF655536 BQB655533:BQB655536 BZX655533:BZX655536 CJT655533:CJT655536 CTP655533:CTP655536 DDL655533:DDL655536 DNH655533:DNH655536 DXD655533:DXD655536 EGZ655533:EGZ655536 EQV655533:EQV655536 FAR655533:FAR655536 FKN655533:FKN655536 FUJ655533:FUJ655536 GEF655533:GEF655536 GOB655533:GOB655536 GXX655533:GXX655536 HHT655533:HHT655536 HRP655533:HRP655536 IBL655533:IBL655536 ILH655533:ILH655536 IVD655533:IVD655536 JEZ655533:JEZ655536 JOV655533:JOV655536 JYR655533:JYR655536 KIN655533:KIN655536 KSJ655533:KSJ655536 LCF655533:LCF655536 LMB655533:LMB655536 LVX655533:LVX655536 MFT655533:MFT655536 MPP655533:MPP655536 MZL655533:MZL655536 NJH655533:NJH655536 NTD655533:NTD655536 OCZ655533:OCZ655536 OMV655533:OMV655536 OWR655533:OWR655536 PGN655533:PGN655536 PQJ655533:PQJ655536 QAF655533:QAF655536 QKB655533:QKB655536 QTX655533:QTX655536 RDT655533:RDT655536 RNP655533:RNP655536 RXL655533:RXL655536 SHH655533:SHH655536 SRD655533:SRD655536 TAZ655533:TAZ655536 TKV655533:TKV655536 TUR655533:TUR655536 UEN655533:UEN655536 UOJ655533:UOJ655536 UYF655533:UYF655536 VIB655533:VIB655536 VRX655533:VRX655536 WBT655533:WBT655536 WLP655533:WLP655536 WVL655533:WVL655536 D721069:D721072 IZ721069:IZ721072 SV721069:SV721072 ACR721069:ACR721072 AMN721069:AMN721072 AWJ721069:AWJ721072 BGF721069:BGF721072 BQB721069:BQB721072 BZX721069:BZX721072 CJT721069:CJT721072 CTP721069:CTP721072 DDL721069:DDL721072 DNH721069:DNH721072 DXD721069:DXD721072 EGZ721069:EGZ721072 EQV721069:EQV721072 FAR721069:FAR721072 FKN721069:FKN721072 FUJ721069:FUJ721072 GEF721069:GEF721072 GOB721069:GOB721072 GXX721069:GXX721072 HHT721069:HHT721072 HRP721069:HRP721072 IBL721069:IBL721072 ILH721069:ILH721072 IVD721069:IVD721072 JEZ721069:JEZ721072 JOV721069:JOV721072 JYR721069:JYR721072 KIN721069:KIN721072 KSJ721069:KSJ721072 LCF721069:LCF721072 LMB721069:LMB721072 LVX721069:LVX721072 MFT721069:MFT721072 MPP721069:MPP721072 MZL721069:MZL721072 NJH721069:NJH721072 NTD721069:NTD721072 OCZ721069:OCZ721072 OMV721069:OMV721072 OWR721069:OWR721072 PGN721069:PGN721072 PQJ721069:PQJ721072 QAF721069:QAF721072 QKB721069:QKB721072 QTX721069:QTX721072 RDT721069:RDT721072 RNP721069:RNP721072 RXL721069:RXL721072 SHH721069:SHH721072 SRD721069:SRD721072 TAZ721069:TAZ721072 TKV721069:TKV721072 TUR721069:TUR721072 UEN721069:UEN721072 UOJ721069:UOJ721072 UYF721069:UYF721072 VIB721069:VIB721072 VRX721069:VRX721072 WBT721069:WBT721072 WLP721069:WLP721072 WVL721069:WVL721072 D786605:D786608 IZ786605:IZ786608 SV786605:SV786608 ACR786605:ACR786608 AMN786605:AMN786608 AWJ786605:AWJ786608 BGF786605:BGF786608 BQB786605:BQB786608 BZX786605:BZX786608 CJT786605:CJT786608 CTP786605:CTP786608 DDL786605:DDL786608 DNH786605:DNH786608 DXD786605:DXD786608 EGZ786605:EGZ786608 EQV786605:EQV786608 FAR786605:FAR786608 FKN786605:FKN786608 FUJ786605:FUJ786608 GEF786605:GEF786608 GOB786605:GOB786608 GXX786605:GXX786608 HHT786605:HHT786608 HRP786605:HRP786608 IBL786605:IBL786608 ILH786605:ILH786608 IVD786605:IVD786608 JEZ786605:JEZ786608 JOV786605:JOV786608 JYR786605:JYR786608 KIN786605:KIN786608 KSJ786605:KSJ786608 LCF786605:LCF786608 LMB786605:LMB786608 LVX786605:LVX786608 MFT786605:MFT786608 MPP786605:MPP786608 MZL786605:MZL786608 NJH786605:NJH786608 NTD786605:NTD786608 OCZ786605:OCZ786608 OMV786605:OMV786608 OWR786605:OWR786608 PGN786605:PGN786608 PQJ786605:PQJ786608 QAF786605:QAF786608 QKB786605:QKB786608 QTX786605:QTX786608 RDT786605:RDT786608 RNP786605:RNP786608 RXL786605:RXL786608 SHH786605:SHH786608 SRD786605:SRD786608 TAZ786605:TAZ786608 TKV786605:TKV786608 TUR786605:TUR786608 UEN786605:UEN786608 UOJ786605:UOJ786608 UYF786605:UYF786608 VIB786605:VIB786608 VRX786605:VRX786608 WBT786605:WBT786608 WLP786605:WLP786608 WVL786605:WVL786608 D852141:D852144 IZ852141:IZ852144 SV852141:SV852144 ACR852141:ACR852144 AMN852141:AMN852144 AWJ852141:AWJ852144 BGF852141:BGF852144 BQB852141:BQB852144 BZX852141:BZX852144 CJT852141:CJT852144 CTP852141:CTP852144 DDL852141:DDL852144 DNH852141:DNH852144 DXD852141:DXD852144 EGZ852141:EGZ852144 EQV852141:EQV852144 FAR852141:FAR852144 FKN852141:FKN852144 FUJ852141:FUJ852144 GEF852141:GEF852144 GOB852141:GOB852144 GXX852141:GXX852144 HHT852141:HHT852144 HRP852141:HRP852144 IBL852141:IBL852144 ILH852141:ILH852144 IVD852141:IVD852144 JEZ852141:JEZ852144 JOV852141:JOV852144 JYR852141:JYR852144 KIN852141:KIN852144 KSJ852141:KSJ852144 LCF852141:LCF852144 LMB852141:LMB852144 LVX852141:LVX852144 MFT852141:MFT852144 MPP852141:MPP852144 MZL852141:MZL852144 NJH852141:NJH852144 NTD852141:NTD852144 OCZ852141:OCZ852144 OMV852141:OMV852144 OWR852141:OWR852144 PGN852141:PGN852144 PQJ852141:PQJ852144 QAF852141:QAF852144 QKB852141:QKB852144 QTX852141:QTX852144 RDT852141:RDT852144 RNP852141:RNP852144 RXL852141:RXL852144 SHH852141:SHH852144 SRD852141:SRD852144 TAZ852141:TAZ852144 TKV852141:TKV852144 TUR852141:TUR852144 UEN852141:UEN852144 UOJ852141:UOJ852144 UYF852141:UYF852144 VIB852141:VIB852144 VRX852141:VRX852144 WBT852141:WBT852144 WLP852141:WLP852144 WVL852141:WVL852144 D917677:D917680 IZ917677:IZ917680 SV917677:SV917680 ACR917677:ACR917680 AMN917677:AMN917680 AWJ917677:AWJ917680 BGF917677:BGF917680 BQB917677:BQB917680 BZX917677:BZX917680 CJT917677:CJT917680 CTP917677:CTP917680 DDL917677:DDL917680 DNH917677:DNH917680 DXD917677:DXD917680 EGZ917677:EGZ917680 EQV917677:EQV917680 FAR917677:FAR917680 FKN917677:FKN917680 FUJ917677:FUJ917680 GEF917677:GEF917680 GOB917677:GOB917680 GXX917677:GXX917680 HHT917677:HHT917680 HRP917677:HRP917680 IBL917677:IBL917680 ILH917677:ILH917680 IVD917677:IVD917680 JEZ917677:JEZ917680 JOV917677:JOV917680 JYR917677:JYR917680 KIN917677:KIN917680 KSJ917677:KSJ917680 LCF917677:LCF917680 LMB917677:LMB917680 LVX917677:LVX917680 MFT917677:MFT917680 MPP917677:MPP917680 MZL917677:MZL917680 NJH917677:NJH917680 NTD917677:NTD917680 OCZ917677:OCZ917680 OMV917677:OMV917680 OWR917677:OWR917680 PGN917677:PGN917680 PQJ917677:PQJ917680 QAF917677:QAF917680 QKB917677:QKB917680 QTX917677:QTX917680 RDT917677:RDT917680 RNP917677:RNP917680 RXL917677:RXL917680 SHH917677:SHH917680 SRD917677:SRD917680 TAZ917677:TAZ917680 TKV917677:TKV917680 TUR917677:TUR917680 UEN917677:UEN917680 UOJ917677:UOJ917680 UYF917677:UYF917680 VIB917677:VIB917680 VRX917677:VRX917680 WBT917677:WBT917680 WLP917677:WLP917680 WVL917677:WVL917680 D983213:D983216 IZ983213:IZ983216 SV983213:SV983216 ACR983213:ACR983216 AMN983213:AMN983216 AWJ983213:AWJ983216 BGF983213:BGF983216 BQB983213:BQB983216 BZX983213:BZX983216 CJT983213:CJT983216 CTP983213:CTP983216 DDL983213:DDL983216 DNH983213:DNH983216 DXD983213:DXD983216 EGZ983213:EGZ983216 EQV983213:EQV983216 FAR983213:FAR983216 FKN983213:FKN983216 FUJ983213:FUJ983216 GEF983213:GEF983216 GOB983213:GOB983216 GXX983213:GXX983216 HHT983213:HHT983216 HRP983213:HRP983216 IBL983213:IBL983216 ILH983213:ILH983216 IVD983213:IVD983216 JEZ983213:JEZ983216 JOV983213:JOV983216 JYR983213:JYR983216 KIN983213:KIN983216 KSJ983213:KSJ983216 LCF983213:LCF983216 LMB983213:LMB983216 LVX983213:LVX983216 MFT983213:MFT983216 MPP983213:MPP983216 MZL983213:MZL983216 NJH983213:NJH983216 NTD983213:NTD983216 OCZ983213:OCZ983216 OMV983213:OMV983216 OWR983213:OWR983216 PGN983213:PGN983216 PQJ983213:PQJ983216 QAF983213:QAF983216 QKB983213:QKB983216 QTX983213:QTX983216 RDT983213:RDT983216 RNP983213:RNP983216 RXL983213:RXL983216 SHH983213:SHH983216 SRD983213:SRD983216 TAZ983213:TAZ983216 TKV983213:TKV983216 TUR983213:TUR983216 UEN983213:UEN983216 UOJ983213:UOJ983216 UYF983213:UYF983216 VIB983213:VIB983216 VRX983213:VRX983216 WBT983213:WBT983216 WLP983213:WLP983216 WVL983213:WVL983216" xr:uid="{EBAC98A4-92E2-406B-BAD3-72FEDC815A51}">
      <formula1>$K$173:$K$181</formula1>
    </dataValidation>
    <dataValidation type="list" allowBlank="1" showInputMessage="1" showErrorMessage="1" sqref="D214 IZ214 SV214 ACR214 AMN214 AWJ214 BGF214 BQB214 BZX214 CJT214 CTP214 DDL214 DNH214 DXD214 EGZ214 EQV214 FAR214 FKN214 FUJ214 GEF214 GOB214 GXX214 HHT214 HRP214 IBL214 ILH214 IVD214 JEZ214 JOV214 JYR214 KIN214 KSJ214 LCF214 LMB214 LVX214 MFT214 MPP214 MZL214 NJH214 NTD214 OCZ214 OMV214 OWR214 PGN214 PQJ214 QAF214 QKB214 QTX214 RDT214 RNP214 RXL214 SHH214 SRD214 TAZ214 TKV214 TUR214 UEN214 UOJ214 UYF214 VIB214 VRX214 WBT214 WLP214 WVL214 D65750 IZ65750 SV65750 ACR65750 AMN65750 AWJ65750 BGF65750 BQB65750 BZX65750 CJT65750 CTP65750 DDL65750 DNH65750 DXD65750 EGZ65750 EQV65750 FAR65750 FKN65750 FUJ65750 GEF65750 GOB65750 GXX65750 HHT65750 HRP65750 IBL65750 ILH65750 IVD65750 JEZ65750 JOV65750 JYR65750 KIN65750 KSJ65750 LCF65750 LMB65750 LVX65750 MFT65750 MPP65750 MZL65750 NJH65750 NTD65750 OCZ65750 OMV65750 OWR65750 PGN65750 PQJ65750 QAF65750 QKB65750 QTX65750 RDT65750 RNP65750 RXL65750 SHH65750 SRD65750 TAZ65750 TKV65750 TUR65750 UEN65750 UOJ65750 UYF65750 VIB65750 VRX65750 WBT65750 WLP65750 WVL65750 D131286 IZ131286 SV131286 ACR131286 AMN131286 AWJ131286 BGF131286 BQB131286 BZX131286 CJT131286 CTP131286 DDL131286 DNH131286 DXD131286 EGZ131286 EQV131286 FAR131286 FKN131286 FUJ131286 GEF131286 GOB131286 GXX131286 HHT131286 HRP131286 IBL131286 ILH131286 IVD131286 JEZ131286 JOV131286 JYR131286 KIN131286 KSJ131286 LCF131286 LMB131286 LVX131286 MFT131286 MPP131286 MZL131286 NJH131286 NTD131286 OCZ131286 OMV131286 OWR131286 PGN131286 PQJ131286 QAF131286 QKB131286 QTX131286 RDT131286 RNP131286 RXL131286 SHH131286 SRD131286 TAZ131286 TKV131286 TUR131286 UEN131286 UOJ131286 UYF131286 VIB131286 VRX131286 WBT131286 WLP131286 WVL131286 D196822 IZ196822 SV196822 ACR196822 AMN196822 AWJ196822 BGF196822 BQB196822 BZX196822 CJT196822 CTP196822 DDL196822 DNH196822 DXD196822 EGZ196822 EQV196822 FAR196822 FKN196822 FUJ196822 GEF196822 GOB196822 GXX196822 HHT196822 HRP196822 IBL196822 ILH196822 IVD196822 JEZ196822 JOV196822 JYR196822 KIN196822 KSJ196822 LCF196822 LMB196822 LVX196822 MFT196822 MPP196822 MZL196822 NJH196822 NTD196822 OCZ196822 OMV196822 OWR196822 PGN196822 PQJ196822 QAF196822 QKB196822 QTX196822 RDT196822 RNP196822 RXL196822 SHH196822 SRD196822 TAZ196822 TKV196822 TUR196822 UEN196822 UOJ196822 UYF196822 VIB196822 VRX196822 WBT196822 WLP196822 WVL196822 D262358 IZ262358 SV262358 ACR262358 AMN262358 AWJ262358 BGF262358 BQB262358 BZX262358 CJT262358 CTP262358 DDL262358 DNH262358 DXD262358 EGZ262358 EQV262358 FAR262358 FKN262358 FUJ262358 GEF262358 GOB262358 GXX262358 HHT262358 HRP262358 IBL262358 ILH262358 IVD262358 JEZ262358 JOV262358 JYR262358 KIN262358 KSJ262358 LCF262358 LMB262358 LVX262358 MFT262358 MPP262358 MZL262358 NJH262358 NTD262358 OCZ262358 OMV262358 OWR262358 PGN262358 PQJ262358 QAF262358 QKB262358 QTX262358 RDT262358 RNP262358 RXL262358 SHH262358 SRD262358 TAZ262358 TKV262358 TUR262358 UEN262358 UOJ262358 UYF262358 VIB262358 VRX262358 WBT262358 WLP262358 WVL262358 D327894 IZ327894 SV327894 ACR327894 AMN327894 AWJ327894 BGF327894 BQB327894 BZX327894 CJT327894 CTP327894 DDL327894 DNH327894 DXD327894 EGZ327894 EQV327894 FAR327894 FKN327894 FUJ327894 GEF327894 GOB327894 GXX327894 HHT327894 HRP327894 IBL327894 ILH327894 IVD327894 JEZ327894 JOV327894 JYR327894 KIN327894 KSJ327894 LCF327894 LMB327894 LVX327894 MFT327894 MPP327894 MZL327894 NJH327894 NTD327894 OCZ327894 OMV327894 OWR327894 PGN327894 PQJ327894 QAF327894 QKB327894 QTX327894 RDT327894 RNP327894 RXL327894 SHH327894 SRD327894 TAZ327894 TKV327894 TUR327894 UEN327894 UOJ327894 UYF327894 VIB327894 VRX327894 WBT327894 WLP327894 WVL327894 D393430 IZ393430 SV393430 ACR393430 AMN393430 AWJ393430 BGF393430 BQB393430 BZX393430 CJT393430 CTP393430 DDL393430 DNH393430 DXD393430 EGZ393430 EQV393430 FAR393430 FKN393430 FUJ393430 GEF393430 GOB393430 GXX393430 HHT393430 HRP393430 IBL393430 ILH393430 IVD393430 JEZ393430 JOV393430 JYR393430 KIN393430 KSJ393430 LCF393430 LMB393430 LVX393430 MFT393430 MPP393430 MZL393430 NJH393430 NTD393430 OCZ393430 OMV393430 OWR393430 PGN393430 PQJ393430 QAF393430 QKB393430 QTX393430 RDT393430 RNP393430 RXL393430 SHH393430 SRD393430 TAZ393430 TKV393430 TUR393430 UEN393430 UOJ393430 UYF393430 VIB393430 VRX393430 WBT393430 WLP393430 WVL393430 D458966 IZ458966 SV458966 ACR458966 AMN458966 AWJ458966 BGF458966 BQB458966 BZX458966 CJT458966 CTP458966 DDL458966 DNH458966 DXD458966 EGZ458966 EQV458966 FAR458966 FKN458966 FUJ458966 GEF458966 GOB458966 GXX458966 HHT458966 HRP458966 IBL458966 ILH458966 IVD458966 JEZ458966 JOV458966 JYR458966 KIN458966 KSJ458966 LCF458966 LMB458966 LVX458966 MFT458966 MPP458966 MZL458966 NJH458966 NTD458966 OCZ458966 OMV458966 OWR458966 PGN458966 PQJ458966 QAF458966 QKB458966 QTX458966 RDT458966 RNP458966 RXL458966 SHH458966 SRD458966 TAZ458966 TKV458966 TUR458966 UEN458966 UOJ458966 UYF458966 VIB458966 VRX458966 WBT458966 WLP458966 WVL458966 D524502 IZ524502 SV524502 ACR524502 AMN524502 AWJ524502 BGF524502 BQB524502 BZX524502 CJT524502 CTP524502 DDL524502 DNH524502 DXD524502 EGZ524502 EQV524502 FAR524502 FKN524502 FUJ524502 GEF524502 GOB524502 GXX524502 HHT524502 HRP524502 IBL524502 ILH524502 IVD524502 JEZ524502 JOV524502 JYR524502 KIN524502 KSJ524502 LCF524502 LMB524502 LVX524502 MFT524502 MPP524502 MZL524502 NJH524502 NTD524502 OCZ524502 OMV524502 OWR524502 PGN524502 PQJ524502 QAF524502 QKB524502 QTX524502 RDT524502 RNP524502 RXL524502 SHH524502 SRD524502 TAZ524502 TKV524502 TUR524502 UEN524502 UOJ524502 UYF524502 VIB524502 VRX524502 WBT524502 WLP524502 WVL524502 D590038 IZ590038 SV590038 ACR590038 AMN590038 AWJ590038 BGF590038 BQB590038 BZX590038 CJT590038 CTP590038 DDL590038 DNH590038 DXD590038 EGZ590038 EQV590038 FAR590038 FKN590038 FUJ590038 GEF590038 GOB590038 GXX590038 HHT590038 HRP590038 IBL590038 ILH590038 IVD590038 JEZ590038 JOV590038 JYR590038 KIN590038 KSJ590038 LCF590038 LMB590038 LVX590038 MFT590038 MPP590038 MZL590038 NJH590038 NTD590038 OCZ590038 OMV590038 OWR590038 PGN590038 PQJ590038 QAF590038 QKB590038 QTX590038 RDT590038 RNP590038 RXL590038 SHH590038 SRD590038 TAZ590038 TKV590038 TUR590038 UEN590038 UOJ590038 UYF590038 VIB590038 VRX590038 WBT590038 WLP590038 WVL590038 D655574 IZ655574 SV655574 ACR655574 AMN655574 AWJ655574 BGF655574 BQB655574 BZX655574 CJT655574 CTP655574 DDL655574 DNH655574 DXD655574 EGZ655574 EQV655574 FAR655574 FKN655574 FUJ655574 GEF655574 GOB655574 GXX655574 HHT655574 HRP655574 IBL655574 ILH655574 IVD655574 JEZ655574 JOV655574 JYR655574 KIN655574 KSJ655574 LCF655574 LMB655574 LVX655574 MFT655574 MPP655574 MZL655574 NJH655574 NTD655574 OCZ655574 OMV655574 OWR655574 PGN655574 PQJ655574 QAF655574 QKB655574 QTX655574 RDT655574 RNP655574 RXL655574 SHH655574 SRD655574 TAZ655574 TKV655574 TUR655574 UEN655574 UOJ655574 UYF655574 VIB655574 VRX655574 WBT655574 WLP655574 WVL655574 D721110 IZ721110 SV721110 ACR721110 AMN721110 AWJ721110 BGF721110 BQB721110 BZX721110 CJT721110 CTP721110 DDL721110 DNH721110 DXD721110 EGZ721110 EQV721110 FAR721110 FKN721110 FUJ721110 GEF721110 GOB721110 GXX721110 HHT721110 HRP721110 IBL721110 ILH721110 IVD721110 JEZ721110 JOV721110 JYR721110 KIN721110 KSJ721110 LCF721110 LMB721110 LVX721110 MFT721110 MPP721110 MZL721110 NJH721110 NTD721110 OCZ721110 OMV721110 OWR721110 PGN721110 PQJ721110 QAF721110 QKB721110 QTX721110 RDT721110 RNP721110 RXL721110 SHH721110 SRD721110 TAZ721110 TKV721110 TUR721110 UEN721110 UOJ721110 UYF721110 VIB721110 VRX721110 WBT721110 WLP721110 WVL721110 D786646 IZ786646 SV786646 ACR786646 AMN786646 AWJ786646 BGF786646 BQB786646 BZX786646 CJT786646 CTP786646 DDL786646 DNH786646 DXD786646 EGZ786646 EQV786646 FAR786646 FKN786646 FUJ786646 GEF786646 GOB786646 GXX786646 HHT786646 HRP786646 IBL786646 ILH786646 IVD786646 JEZ786646 JOV786646 JYR786646 KIN786646 KSJ786646 LCF786646 LMB786646 LVX786646 MFT786646 MPP786646 MZL786646 NJH786646 NTD786646 OCZ786646 OMV786646 OWR786646 PGN786646 PQJ786646 QAF786646 QKB786646 QTX786646 RDT786646 RNP786646 RXL786646 SHH786646 SRD786646 TAZ786646 TKV786646 TUR786646 UEN786646 UOJ786646 UYF786646 VIB786646 VRX786646 WBT786646 WLP786646 WVL786646 D852182 IZ852182 SV852182 ACR852182 AMN852182 AWJ852182 BGF852182 BQB852182 BZX852182 CJT852182 CTP852182 DDL852182 DNH852182 DXD852182 EGZ852182 EQV852182 FAR852182 FKN852182 FUJ852182 GEF852182 GOB852182 GXX852182 HHT852182 HRP852182 IBL852182 ILH852182 IVD852182 JEZ852182 JOV852182 JYR852182 KIN852182 KSJ852182 LCF852182 LMB852182 LVX852182 MFT852182 MPP852182 MZL852182 NJH852182 NTD852182 OCZ852182 OMV852182 OWR852182 PGN852182 PQJ852182 QAF852182 QKB852182 QTX852182 RDT852182 RNP852182 RXL852182 SHH852182 SRD852182 TAZ852182 TKV852182 TUR852182 UEN852182 UOJ852182 UYF852182 VIB852182 VRX852182 WBT852182 WLP852182 WVL852182 D917718 IZ917718 SV917718 ACR917718 AMN917718 AWJ917718 BGF917718 BQB917718 BZX917718 CJT917718 CTP917718 DDL917718 DNH917718 DXD917718 EGZ917718 EQV917718 FAR917718 FKN917718 FUJ917718 GEF917718 GOB917718 GXX917718 HHT917718 HRP917718 IBL917718 ILH917718 IVD917718 JEZ917718 JOV917718 JYR917718 KIN917718 KSJ917718 LCF917718 LMB917718 LVX917718 MFT917718 MPP917718 MZL917718 NJH917718 NTD917718 OCZ917718 OMV917718 OWR917718 PGN917718 PQJ917718 QAF917718 QKB917718 QTX917718 RDT917718 RNP917718 RXL917718 SHH917718 SRD917718 TAZ917718 TKV917718 TUR917718 UEN917718 UOJ917718 UYF917718 VIB917718 VRX917718 WBT917718 WLP917718 WVL917718 D983254 IZ983254 SV983254 ACR983254 AMN983254 AWJ983254 BGF983254 BQB983254 BZX983254 CJT983254 CTP983254 DDL983254 DNH983254 DXD983254 EGZ983254 EQV983254 FAR983254 FKN983254 FUJ983254 GEF983254 GOB983254 GXX983254 HHT983254 HRP983254 IBL983254 ILH983254 IVD983254 JEZ983254 JOV983254 JYR983254 KIN983254 KSJ983254 LCF983254 LMB983254 LVX983254 MFT983254 MPP983254 MZL983254 NJH983254 NTD983254 OCZ983254 OMV983254 OWR983254 PGN983254 PQJ983254 QAF983254 QKB983254 QTX983254 RDT983254 RNP983254 RXL983254 SHH983254 SRD983254 TAZ983254 TKV983254 TUR983254 UEN983254 UOJ983254 UYF983254 VIB983254 VRX983254 WBT983254 WLP983254 WVL983254 H9 JD9 SZ9 ACV9 AMR9 AWN9 BGJ9 BQF9 CAB9 CJX9 CTT9 DDP9 DNL9 DXH9 EHD9 EQZ9 FAV9 FKR9 FUN9 GEJ9 GOF9 GYB9 HHX9 HRT9 IBP9 ILL9 IVH9 JFD9 JOZ9 JYV9 KIR9 KSN9 LCJ9 LMF9 LWB9 MFX9 MPT9 MZP9 NJL9 NTH9 ODD9 OMZ9 OWV9 PGR9 PQN9 QAJ9 QKF9 QUB9 RDX9 RNT9 RXP9 SHL9 SRH9 TBD9 TKZ9 TUV9 UER9 UON9 UYJ9 VIF9 VSB9 WBX9 WLT9 WVP9 H65545 JD65545 SZ65545 ACV65545 AMR65545 AWN65545 BGJ65545 BQF65545 CAB65545 CJX65545 CTT65545 DDP65545 DNL65545 DXH65545 EHD65545 EQZ65545 FAV65545 FKR65545 FUN65545 GEJ65545 GOF65545 GYB65545 HHX65545 HRT65545 IBP65545 ILL65545 IVH65545 JFD65545 JOZ65545 JYV65545 KIR65545 KSN65545 LCJ65545 LMF65545 LWB65545 MFX65545 MPT65545 MZP65545 NJL65545 NTH65545 ODD65545 OMZ65545 OWV65545 PGR65545 PQN65545 QAJ65545 QKF65545 QUB65545 RDX65545 RNT65545 RXP65545 SHL65545 SRH65545 TBD65545 TKZ65545 TUV65545 UER65545 UON65545 UYJ65545 VIF65545 VSB65545 WBX65545 WLT65545 WVP65545 H131081 JD131081 SZ131081 ACV131081 AMR131081 AWN131081 BGJ131081 BQF131081 CAB131081 CJX131081 CTT131081 DDP131081 DNL131081 DXH131081 EHD131081 EQZ131081 FAV131081 FKR131081 FUN131081 GEJ131081 GOF131081 GYB131081 HHX131081 HRT131081 IBP131081 ILL131081 IVH131081 JFD131081 JOZ131081 JYV131081 KIR131081 KSN131081 LCJ131081 LMF131081 LWB131081 MFX131081 MPT131081 MZP131081 NJL131081 NTH131081 ODD131081 OMZ131081 OWV131081 PGR131081 PQN131081 QAJ131081 QKF131081 QUB131081 RDX131081 RNT131081 RXP131081 SHL131081 SRH131081 TBD131081 TKZ131081 TUV131081 UER131081 UON131081 UYJ131081 VIF131081 VSB131081 WBX131081 WLT131081 WVP131081 H196617 JD196617 SZ196617 ACV196617 AMR196617 AWN196617 BGJ196617 BQF196617 CAB196617 CJX196617 CTT196617 DDP196617 DNL196617 DXH196617 EHD196617 EQZ196617 FAV196617 FKR196617 FUN196617 GEJ196617 GOF196617 GYB196617 HHX196617 HRT196617 IBP196617 ILL196617 IVH196617 JFD196617 JOZ196617 JYV196617 KIR196617 KSN196617 LCJ196617 LMF196617 LWB196617 MFX196617 MPT196617 MZP196617 NJL196617 NTH196617 ODD196617 OMZ196617 OWV196617 PGR196617 PQN196617 QAJ196617 QKF196617 QUB196617 RDX196617 RNT196617 RXP196617 SHL196617 SRH196617 TBD196617 TKZ196617 TUV196617 UER196617 UON196617 UYJ196617 VIF196617 VSB196617 WBX196617 WLT196617 WVP196617 H262153 JD262153 SZ262153 ACV262153 AMR262153 AWN262153 BGJ262153 BQF262153 CAB262153 CJX262153 CTT262153 DDP262153 DNL262153 DXH262153 EHD262153 EQZ262153 FAV262153 FKR262153 FUN262153 GEJ262153 GOF262153 GYB262153 HHX262153 HRT262153 IBP262153 ILL262153 IVH262153 JFD262153 JOZ262153 JYV262153 KIR262153 KSN262153 LCJ262153 LMF262153 LWB262153 MFX262153 MPT262153 MZP262153 NJL262153 NTH262153 ODD262153 OMZ262153 OWV262153 PGR262153 PQN262153 QAJ262153 QKF262153 QUB262153 RDX262153 RNT262153 RXP262153 SHL262153 SRH262153 TBD262153 TKZ262153 TUV262153 UER262153 UON262153 UYJ262153 VIF262153 VSB262153 WBX262153 WLT262153 WVP262153 H327689 JD327689 SZ327689 ACV327689 AMR327689 AWN327689 BGJ327689 BQF327689 CAB327689 CJX327689 CTT327689 DDP327689 DNL327689 DXH327689 EHD327689 EQZ327689 FAV327689 FKR327689 FUN327689 GEJ327689 GOF327689 GYB327689 HHX327689 HRT327689 IBP327689 ILL327689 IVH327689 JFD327689 JOZ327689 JYV327689 KIR327689 KSN327689 LCJ327689 LMF327689 LWB327689 MFX327689 MPT327689 MZP327689 NJL327689 NTH327689 ODD327689 OMZ327689 OWV327689 PGR327689 PQN327689 QAJ327689 QKF327689 QUB327689 RDX327689 RNT327689 RXP327689 SHL327689 SRH327689 TBD327689 TKZ327689 TUV327689 UER327689 UON327689 UYJ327689 VIF327689 VSB327689 WBX327689 WLT327689 WVP327689 H393225 JD393225 SZ393225 ACV393225 AMR393225 AWN393225 BGJ393225 BQF393225 CAB393225 CJX393225 CTT393225 DDP393225 DNL393225 DXH393225 EHD393225 EQZ393225 FAV393225 FKR393225 FUN393225 GEJ393225 GOF393225 GYB393225 HHX393225 HRT393225 IBP393225 ILL393225 IVH393225 JFD393225 JOZ393225 JYV393225 KIR393225 KSN393225 LCJ393225 LMF393225 LWB393225 MFX393225 MPT393225 MZP393225 NJL393225 NTH393225 ODD393225 OMZ393225 OWV393225 PGR393225 PQN393225 QAJ393225 QKF393225 QUB393225 RDX393225 RNT393225 RXP393225 SHL393225 SRH393225 TBD393225 TKZ393225 TUV393225 UER393225 UON393225 UYJ393225 VIF393225 VSB393225 WBX393225 WLT393225 WVP393225 H458761 JD458761 SZ458761 ACV458761 AMR458761 AWN458761 BGJ458761 BQF458761 CAB458761 CJX458761 CTT458761 DDP458761 DNL458761 DXH458761 EHD458761 EQZ458761 FAV458761 FKR458761 FUN458761 GEJ458761 GOF458761 GYB458761 HHX458761 HRT458761 IBP458761 ILL458761 IVH458761 JFD458761 JOZ458761 JYV458761 KIR458761 KSN458761 LCJ458761 LMF458761 LWB458761 MFX458761 MPT458761 MZP458761 NJL458761 NTH458761 ODD458761 OMZ458761 OWV458761 PGR458761 PQN458761 QAJ458761 QKF458761 QUB458761 RDX458761 RNT458761 RXP458761 SHL458761 SRH458761 TBD458761 TKZ458761 TUV458761 UER458761 UON458761 UYJ458761 VIF458761 VSB458761 WBX458761 WLT458761 WVP458761 H524297 JD524297 SZ524297 ACV524297 AMR524297 AWN524297 BGJ524297 BQF524297 CAB524297 CJX524297 CTT524297 DDP524297 DNL524297 DXH524297 EHD524297 EQZ524297 FAV524297 FKR524297 FUN524297 GEJ524297 GOF524297 GYB524297 HHX524297 HRT524297 IBP524297 ILL524297 IVH524297 JFD524297 JOZ524297 JYV524297 KIR524297 KSN524297 LCJ524297 LMF524297 LWB524297 MFX524297 MPT524297 MZP524297 NJL524297 NTH524297 ODD524297 OMZ524297 OWV524297 PGR524297 PQN524297 QAJ524297 QKF524297 QUB524297 RDX524297 RNT524297 RXP524297 SHL524297 SRH524297 TBD524297 TKZ524297 TUV524297 UER524297 UON524297 UYJ524297 VIF524297 VSB524297 WBX524297 WLT524297 WVP524297 H589833 JD589833 SZ589833 ACV589833 AMR589833 AWN589833 BGJ589833 BQF589833 CAB589833 CJX589833 CTT589833 DDP589833 DNL589833 DXH589833 EHD589833 EQZ589833 FAV589833 FKR589833 FUN589833 GEJ589833 GOF589833 GYB589833 HHX589833 HRT589833 IBP589833 ILL589833 IVH589833 JFD589833 JOZ589833 JYV589833 KIR589833 KSN589833 LCJ589833 LMF589833 LWB589833 MFX589833 MPT589833 MZP589833 NJL589833 NTH589833 ODD589833 OMZ589833 OWV589833 PGR589833 PQN589833 QAJ589833 QKF589833 QUB589833 RDX589833 RNT589833 RXP589833 SHL589833 SRH589833 TBD589833 TKZ589833 TUV589833 UER589833 UON589833 UYJ589833 VIF589833 VSB589833 WBX589833 WLT589833 WVP589833 H655369 JD655369 SZ655369 ACV655369 AMR655369 AWN655369 BGJ655369 BQF655369 CAB655369 CJX655369 CTT655369 DDP655369 DNL655369 DXH655369 EHD655369 EQZ655369 FAV655369 FKR655369 FUN655369 GEJ655369 GOF655369 GYB655369 HHX655369 HRT655369 IBP655369 ILL655369 IVH655369 JFD655369 JOZ655369 JYV655369 KIR655369 KSN655369 LCJ655369 LMF655369 LWB655369 MFX655369 MPT655369 MZP655369 NJL655369 NTH655369 ODD655369 OMZ655369 OWV655369 PGR655369 PQN655369 QAJ655369 QKF655369 QUB655369 RDX655369 RNT655369 RXP655369 SHL655369 SRH655369 TBD655369 TKZ655369 TUV655369 UER655369 UON655369 UYJ655369 VIF655369 VSB655369 WBX655369 WLT655369 WVP655369 H720905 JD720905 SZ720905 ACV720905 AMR720905 AWN720905 BGJ720905 BQF720905 CAB720905 CJX720905 CTT720905 DDP720905 DNL720905 DXH720905 EHD720905 EQZ720905 FAV720905 FKR720905 FUN720905 GEJ720905 GOF720905 GYB720905 HHX720905 HRT720905 IBP720905 ILL720905 IVH720905 JFD720905 JOZ720905 JYV720905 KIR720905 KSN720905 LCJ720905 LMF720905 LWB720905 MFX720905 MPT720905 MZP720905 NJL720905 NTH720905 ODD720905 OMZ720905 OWV720905 PGR720905 PQN720905 QAJ720905 QKF720905 QUB720905 RDX720905 RNT720905 RXP720905 SHL720905 SRH720905 TBD720905 TKZ720905 TUV720905 UER720905 UON720905 UYJ720905 VIF720905 VSB720905 WBX720905 WLT720905 WVP720905 H786441 JD786441 SZ786441 ACV786441 AMR786441 AWN786441 BGJ786441 BQF786441 CAB786441 CJX786441 CTT786441 DDP786441 DNL786441 DXH786441 EHD786441 EQZ786441 FAV786441 FKR786441 FUN786441 GEJ786441 GOF786441 GYB786441 HHX786441 HRT786441 IBP786441 ILL786441 IVH786441 JFD786441 JOZ786441 JYV786441 KIR786441 KSN786441 LCJ786441 LMF786441 LWB786441 MFX786441 MPT786441 MZP786441 NJL786441 NTH786441 ODD786441 OMZ786441 OWV786441 PGR786441 PQN786441 QAJ786441 QKF786441 QUB786441 RDX786441 RNT786441 RXP786441 SHL786441 SRH786441 TBD786441 TKZ786441 TUV786441 UER786441 UON786441 UYJ786441 VIF786441 VSB786441 WBX786441 WLT786441 WVP786441 H851977 JD851977 SZ851977 ACV851977 AMR851977 AWN851977 BGJ851977 BQF851977 CAB851977 CJX851977 CTT851977 DDP851977 DNL851977 DXH851977 EHD851977 EQZ851977 FAV851977 FKR851977 FUN851977 GEJ851977 GOF851977 GYB851977 HHX851977 HRT851977 IBP851977 ILL851977 IVH851977 JFD851977 JOZ851977 JYV851977 KIR851977 KSN851977 LCJ851977 LMF851977 LWB851977 MFX851977 MPT851977 MZP851977 NJL851977 NTH851977 ODD851977 OMZ851977 OWV851977 PGR851977 PQN851977 QAJ851977 QKF851977 QUB851977 RDX851977 RNT851977 RXP851977 SHL851977 SRH851977 TBD851977 TKZ851977 TUV851977 UER851977 UON851977 UYJ851977 VIF851977 VSB851977 WBX851977 WLT851977 WVP851977 H917513 JD917513 SZ917513 ACV917513 AMR917513 AWN917513 BGJ917513 BQF917513 CAB917513 CJX917513 CTT917513 DDP917513 DNL917513 DXH917513 EHD917513 EQZ917513 FAV917513 FKR917513 FUN917513 GEJ917513 GOF917513 GYB917513 HHX917513 HRT917513 IBP917513 ILL917513 IVH917513 JFD917513 JOZ917513 JYV917513 KIR917513 KSN917513 LCJ917513 LMF917513 LWB917513 MFX917513 MPT917513 MZP917513 NJL917513 NTH917513 ODD917513 OMZ917513 OWV917513 PGR917513 PQN917513 QAJ917513 QKF917513 QUB917513 RDX917513 RNT917513 RXP917513 SHL917513 SRH917513 TBD917513 TKZ917513 TUV917513 UER917513 UON917513 UYJ917513 VIF917513 VSB917513 WBX917513 WLT917513 WVP917513 H983049 JD983049 SZ983049 ACV983049 AMR983049 AWN983049 BGJ983049 BQF983049 CAB983049 CJX983049 CTT983049 DDP983049 DNL983049 DXH983049 EHD983049 EQZ983049 FAV983049 FKR983049 FUN983049 GEJ983049 GOF983049 GYB983049 HHX983049 HRT983049 IBP983049 ILL983049 IVH983049 JFD983049 JOZ983049 JYV983049 KIR983049 KSN983049 LCJ983049 LMF983049 LWB983049 MFX983049 MPT983049 MZP983049 NJL983049 NTH983049 ODD983049 OMZ983049 OWV983049 PGR983049 PQN983049 QAJ983049 QKF983049 QUB983049 RDX983049 RNT983049 RXP983049 SHL983049 SRH983049 TBD983049 TKZ983049 TUV983049 UER983049 UON983049 UYJ983049 VIF983049 VSB983049 WBX983049 WLT983049 WVP983049 J9 JF9 TB9 ACX9 AMT9 AWP9 BGL9 BQH9 CAD9 CJZ9 CTV9 DDR9 DNN9 DXJ9 EHF9 ERB9 FAX9 FKT9 FUP9 GEL9 GOH9 GYD9 HHZ9 HRV9 IBR9 ILN9 IVJ9 JFF9 JPB9 JYX9 KIT9 KSP9 LCL9 LMH9 LWD9 MFZ9 MPV9 MZR9 NJN9 NTJ9 ODF9 ONB9 OWX9 PGT9 PQP9 QAL9 QKH9 QUD9 RDZ9 RNV9 RXR9 SHN9 SRJ9 TBF9 TLB9 TUX9 UET9 UOP9 UYL9 VIH9 VSD9 WBZ9 WLV9 WVR9 J65545 JF65545 TB65545 ACX65545 AMT65545 AWP65545 BGL65545 BQH65545 CAD65545 CJZ65545 CTV65545 DDR65545 DNN65545 DXJ65545 EHF65545 ERB65545 FAX65545 FKT65545 FUP65545 GEL65545 GOH65545 GYD65545 HHZ65545 HRV65545 IBR65545 ILN65545 IVJ65545 JFF65545 JPB65545 JYX65545 KIT65545 KSP65545 LCL65545 LMH65545 LWD65545 MFZ65545 MPV65545 MZR65545 NJN65545 NTJ65545 ODF65545 ONB65545 OWX65545 PGT65545 PQP65545 QAL65545 QKH65545 QUD65545 RDZ65545 RNV65545 RXR65545 SHN65545 SRJ65545 TBF65545 TLB65545 TUX65545 UET65545 UOP65545 UYL65545 VIH65545 VSD65545 WBZ65545 WLV65545 WVR65545 J131081 JF131081 TB131081 ACX131081 AMT131081 AWP131081 BGL131081 BQH131081 CAD131081 CJZ131081 CTV131081 DDR131081 DNN131081 DXJ131081 EHF131081 ERB131081 FAX131081 FKT131081 FUP131081 GEL131081 GOH131081 GYD131081 HHZ131081 HRV131081 IBR131081 ILN131081 IVJ131081 JFF131081 JPB131081 JYX131081 KIT131081 KSP131081 LCL131081 LMH131081 LWD131081 MFZ131081 MPV131081 MZR131081 NJN131081 NTJ131081 ODF131081 ONB131081 OWX131081 PGT131081 PQP131081 QAL131081 QKH131081 QUD131081 RDZ131081 RNV131081 RXR131081 SHN131081 SRJ131081 TBF131081 TLB131081 TUX131081 UET131081 UOP131081 UYL131081 VIH131081 VSD131081 WBZ131081 WLV131081 WVR131081 J196617 JF196617 TB196617 ACX196617 AMT196617 AWP196617 BGL196617 BQH196617 CAD196617 CJZ196617 CTV196617 DDR196617 DNN196617 DXJ196617 EHF196617 ERB196617 FAX196617 FKT196617 FUP196617 GEL196617 GOH196617 GYD196617 HHZ196617 HRV196617 IBR196617 ILN196617 IVJ196617 JFF196617 JPB196617 JYX196617 KIT196617 KSP196617 LCL196617 LMH196617 LWD196617 MFZ196617 MPV196617 MZR196617 NJN196617 NTJ196617 ODF196617 ONB196617 OWX196617 PGT196617 PQP196617 QAL196617 QKH196617 QUD196617 RDZ196617 RNV196617 RXR196617 SHN196617 SRJ196617 TBF196617 TLB196617 TUX196617 UET196617 UOP196617 UYL196617 VIH196617 VSD196617 WBZ196617 WLV196617 WVR196617 J262153 JF262153 TB262153 ACX262153 AMT262153 AWP262153 BGL262153 BQH262153 CAD262153 CJZ262153 CTV262153 DDR262153 DNN262153 DXJ262153 EHF262153 ERB262153 FAX262153 FKT262153 FUP262153 GEL262153 GOH262153 GYD262153 HHZ262153 HRV262153 IBR262153 ILN262153 IVJ262153 JFF262153 JPB262153 JYX262153 KIT262153 KSP262153 LCL262153 LMH262153 LWD262153 MFZ262153 MPV262153 MZR262153 NJN262153 NTJ262153 ODF262153 ONB262153 OWX262153 PGT262153 PQP262153 QAL262153 QKH262153 QUD262153 RDZ262153 RNV262153 RXR262153 SHN262153 SRJ262153 TBF262153 TLB262153 TUX262153 UET262153 UOP262153 UYL262153 VIH262153 VSD262153 WBZ262153 WLV262153 WVR262153 J327689 JF327689 TB327689 ACX327689 AMT327689 AWP327689 BGL327689 BQH327689 CAD327689 CJZ327689 CTV327689 DDR327689 DNN327689 DXJ327689 EHF327689 ERB327689 FAX327689 FKT327689 FUP327689 GEL327689 GOH327689 GYD327689 HHZ327689 HRV327689 IBR327689 ILN327689 IVJ327689 JFF327689 JPB327689 JYX327689 KIT327689 KSP327689 LCL327689 LMH327689 LWD327689 MFZ327689 MPV327689 MZR327689 NJN327689 NTJ327689 ODF327689 ONB327689 OWX327689 PGT327689 PQP327689 QAL327689 QKH327689 QUD327689 RDZ327689 RNV327689 RXR327689 SHN327689 SRJ327689 TBF327689 TLB327689 TUX327689 UET327689 UOP327689 UYL327689 VIH327689 VSD327689 WBZ327689 WLV327689 WVR327689 J393225 JF393225 TB393225 ACX393225 AMT393225 AWP393225 BGL393225 BQH393225 CAD393225 CJZ393225 CTV393225 DDR393225 DNN393225 DXJ393225 EHF393225 ERB393225 FAX393225 FKT393225 FUP393225 GEL393225 GOH393225 GYD393225 HHZ393225 HRV393225 IBR393225 ILN393225 IVJ393225 JFF393225 JPB393225 JYX393225 KIT393225 KSP393225 LCL393225 LMH393225 LWD393225 MFZ393225 MPV393225 MZR393225 NJN393225 NTJ393225 ODF393225 ONB393225 OWX393225 PGT393225 PQP393225 QAL393225 QKH393225 QUD393225 RDZ393225 RNV393225 RXR393225 SHN393225 SRJ393225 TBF393225 TLB393225 TUX393225 UET393225 UOP393225 UYL393225 VIH393225 VSD393225 WBZ393225 WLV393225 WVR393225 J458761 JF458761 TB458761 ACX458761 AMT458761 AWP458761 BGL458761 BQH458761 CAD458761 CJZ458761 CTV458761 DDR458761 DNN458761 DXJ458761 EHF458761 ERB458761 FAX458761 FKT458761 FUP458761 GEL458761 GOH458761 GYD458761 HHZ458761 HRV458761 IBR458761 ILN458761 IVJ458761 JFF458761 JPB458761 JYX458761 KIT458761 KSP458761 LCL458761 LMH458761 LWD458761 MFZ458761 MPV458761 MZR458761 NJN458761 NTJ458761 ODF458761 ONB458761 OWX458761 PGT458761 PQP458761 QAL458761 QKH458761 QUD458761 RDZ458761 RNV458761 RXR458761 SHN458761 SRJ458761 TBF458761 TLB458761 TUX458761 UET458761 UOP458761 UYL458761 VIH458761 VSD458761 WBZ458761 WLV458761 WVR458761 J524297 JF524297 TB524297 ACX524297 AMT524297 AWP524297 BGL524297 BQH524297 CAD524297 CJZ524297 CTV524297 DDR524297 DNN524297 DXJ524297 EHF524297 ERB524297 FAX524297 FKT524297 FUP524297 GEL524297 GOH524297 GYD524297 HHZ524297 HRV524297 IBR524297 ILN524297 IVJ524297 JFF524297 JPB524297 JYX524297 KIT524297 KSP524297 LCL524297 LMH524297 LWD524297 MFZ524297 MPV524297 MZR524297 NJN524297 NTJ524297 ODF524297 ONB524297 OWX524297 PGT524297 PQP524297 QAL524297 QKH524297 QUD524297 RDZ524297 RNV524297 RXR524297 SHN524297 SRJ524297 TBF524297 TLB524297 TUX524297 UET524297 UOP524297 UYL524297 VIH524297 VSD524297 WBZ524297 WLV524297 WVR524297 J589833 JF589833 TB589833 ACX589833 AMT589833 AWP589833 BGL589833 BQH589833 CAD589833 CJZ589833 CTV589833 DDR589833 DNN589833 DXJ589833 EHF589833 ERB589833 FAX589833 FKT589833 FUP589833 GEL589833 GOH589833 GYD589833 HHZ589833 HRV589833 IBR589833 ILN589833 IVJ589833 JFF589833 JPB589833 JYX589833 KIT589833 KSP589833 LCL589833 LMH589833 LWD589833 MFZ589833 MPV589833 MZR589833 NJN589833 NTJ589833 ODF589833 ONB589833 OWX589833 PGT589833 PQP589833 QAL589833 QKH589833 QUD589833 RDZ589833 RNV589833 RXR589833 SHN589833 SRJ589833 TBF589833 TLB589833 TUX589833 UET589833 UOP589833 UYL589833 VIH589833 VSD589833 WBZ589833 WLV589833 WVR589833 J655369 JF655369 TB655369 ACX655369 AMT655369 AWP655369 BGL655369 BQH655369 CAD655369 CJZ655369 CTV655369 DDR655369 DNN655369 DXJ655369 EHF655369 ERB655369 FAX655369 FKT655369 FUP655369 GEL655369 GOH655369 GYD655369 HHZ655369 HRV655369 IBR655369 ILN655369 IVJ655369 JFF655369 JPB655369 JYX655369 KIT655369 KSP655369 LCL655369 LMH655369 LWD655369 MFZ655369 MPV655369 MZR655369 NJN655369 NTJ655369 ODF655369 ONB655369 OWX655369 PGT655369 PQP655369 QAL655369 QKH655369 QUD655369 RDZ655369 RNV655369 RXR655369 SHN655369 SRJ655369 TBF655369 TLB655369 TUX655369 UET655369 UOP655369 UYL655369 VIH655369 VSD655369 WBZ655369 WLV655369 WVR655369 J720905 JF720905 TB720905 ACX720905 AMT720905 AWP720905 BGL720905 BQH720905 CAD720905 CJZ720905 CTV720905 DDR720905 DNN720905 DXJ720905 EHF720905 ERB720905 FAX720905 FKT720905 FUP720905 GEL720905 GOH720905 GYD720905 HHZ720905 HRV720905 IBR720905 ILN720905 IVJ720905 JFF720905 JPB720905 JYX720905 KIT720905 KSP720905 LCL720905 LMH720905 LWD720905 MFZ720905 MPV720905 MZR720905 NJN720905 NTJ720905 ODF720905 ONB720905 OWX720905 PGT720905 PQP720905 QAL720905 QKH720905 QUD720905 RDZ720905 RNV720905 RXR720905 SHN720905 SRJ720905 TBF720905 TLB720905 TUX720905 UET720905 UOP720905 UYL720905 VIH720905 VSD720905 WBZ720905 WLV720905 WVR720905 J786441 JF786441 TB786441 ACX786441 AMT786441 AWP786441 BGL786441 BQH786441 CAD786441 CJZ786441 CTV786441 DDR786441 DNN786441 DXJ786441 EHF786441 ERB786441 FAX786441 FKT786441 FUP786441 GEL786441 GOH786441 GYD786441 HHZ786441 HRV786441 IBR786441 ILN786441 IVJ786441 JFF786441 JPB786441 JYX786441 KIT786441 KSP786441 LCL786441 LMH786441 LWD786441 MFZ786441 MPV786441 MZR786441 NJN786441 NTJ786441 ODF786441 ONB786441 OWX786441 PGT786441 PQP786441 QAL786441 QKH786441 QUD786441 RDZ786441 RNV786441 RXR786441 SHN786441 SRJ786441 TBF786441 TLB786441 TUX786441 UET786441 UOP786441 UYL786441 VIH786441 VSD786441 WBZ786441 WLV786441 WVR786441 J851977 JF851977 TB851977 ACX851977 AMT851977 AWP851977 BGL851977 BQH851977 CAD851977 CJZ851977 CTV851977 DDR851977 DNN851977 DXJ851977 EHF851977 ERB851977 FAX851977 FKT851977 FUP851977 GEL851977 GOH851977 GYD851977 HHZ851977 HRV851977 IBR851977 ILN851977 IVJ851977 JFF851977 JPB851977 JYX851977 KIT851977 KSP851977 LCL851977 LMH851977 LWD851977 MFZ851977 MPV851977 MZR851977 NJN851977 NTJ851977 ODF851977 ONB851977 OWX851977 PGT851977 PQP851977 QAL851977 QKH851977 QUD851977 RDZ851977 RNV851977 RXR851977 SHN851977 SRJ851977 TBF851977 TLB851977 TUX851977 UET851977 UOP851977 UYL851977 VIH851977 VSD851977 WBZ851977 WLV851977 WVR851977 J917513 JF917513 TB917513 ACX917513 AMT917513 AWP917513 BGL917513 BQH917513 CAD917513 CJZ917513 CTV917513 DDR917513 DNN917513 DXJ917513 EHF917513 ERB917513 FAX917513 FKT917513 FUP917513 GEL917513 GOH917513 GYD917513 HHZ917513 HRV917513 IBR917513 ILN917513 IVJ917513 JFF917513 JPB917513 JYX917513 KIT917513 KSP917513 LCL917513 LMH917513 LWD917513 MFZ917513 MPV917513 MZR917513 NJN917513 NTJ917513 ODF917513 ONB917513 OWX917513 PGT917513 PQP917513 QAL917513 QKH917513 QUD917513 RDZ917513 RNV917513 RXR917513 SHN917513 SRJ917513 TBF917513 TLB917513 TUX917513 UET917513 UOP917513 UYL917513 VIH917513 VSD917513 WBZ917513 WLV917513 WVR917513 J983049 JF983049 TB983049 ACX983049 AMT983049 AWP983049 BGL983049 BQH983049 CAD983049 CJZ983049 CTV983049 DDR983049 DNN983049 DXJ983049 EHF983049 ERB983049 FAX983049 FKT983049 FUP983049 GEL983049 GOH983049 GYD983049 HHZ983049 HRV983049 IBR983049 ILN983049 IVJ983049 JFF983049 JPB983049 JYX983049 KIT983049 KSP983049 LCL983049 LMH983049 LWD983049 MFZ983049 MPV983049 MZR983049 NJN983049 NTJ983049 ODF983049 ONB983049 OWX983049 PGT983049 PQP983049 QAL983049 QKH983049 QUD983049 RDZ983049 RNV983049 RXR983049 SHN983049 SRJ983049 TBF983049 TLB983049 TUX983049 UET983049 UOP983049 UYL983049 VIH983049 VSD983049 WBZ983049 WLV983049 WVR983049 G173 JC173 SY173 ACU173 AMQ173 AWM173 BGI173 BQE173 CAA173 CJW173 CTS173 DDO173 DNK173 DXG173 EHC173 EQY173 FAU173 FKQ173 FUM173 GEI173 GOE173 GYA173 HHW173 HRS173 IBO173 ILK173 IVG173 JFC173 JOY173 JYU173 KIQ173 KSM173 LCI173 LME173 LWA173 MFW173 MPS173 MZO173 NJK173 NTG173 ODC173 OMY173 OWU173 PGQ173 PQM173 QAI173 QKE173 QUA173 RDW173 RNS173 RXO173 SHK173 SRG173 TBC173 TKY173 TUU173 UEQ173 UOM173 UYI173 VIE173 VSA173 WBW173 WLS173 WVO173 G65709 JC65709 SY65709 ACU65709 AMQ65709 AWM65709 BGI65709 BQE65709 CAA65709 CJW65709 CTS65709 DDO65709 DNK65709 DXG65709 EHC65709 EQY65709 FAU65709 FKQ65709 FUM65709 GEI65709 GOE65709 GYA65709 HHW65709 HRS65709 IBO65709 ILK65709 IVG65709 JFC65709 JOY65709 JYU65709 KIQ65709 KSM65709 LCI65709 LME65709 LWA65709 MFW65709 MPS65709 MZO65709 NJK65709 NTG65709 ODC65709 OMY65709 OWU65709 PGQ65709 PQM65709 QAI65709 QKE65709 QUA65709 RDW65709 RNS65709 RXO65709 SHK65709 SRG65709 TBC65709 TKY65709 TUU65709 UEQ65709 UOM65709 UYI65709 VIE65709 VSA65709 WBW65709 WLS65709 WVO65709 G131245 JC131245 SY131245 ACU131245 AMQ131245 AWM131245 BGI131245 BQE131245 CAA131245 CJW131245 CTS131245 DDO131245 DNK131245 DXG131245 EHC131245 EQY131245 FAU131245 FKQ131245 FUM131245 GEI131245 GOE131245 GYA131245 HHW131245 HRS131245 IBO131245 ILK131245 IVG131245 JFC131245 JOY131245 JYU131245 KIQ131245 KSM131245 LCI131245 LME131245 LWA131245 MFW131245 MPS131245 MZO131245 NJK131245 NTG131245 ODC131245 OMY131245 OWU131245 PGQ131245 PQM131245 QAI131245 QKE131245 QUA131245 RDW131245 RNS131245 RXO131245 SHK131245 SRG131245 TBC131245 TKY131245 TUU131245 UEQ131245 UOM131245 UYI131245 VIE131245 VSA131245 WBW131245 WLS131245 WVO131245 G196781 JC196781 SY196781 ACU196781 AMQ196781 AWM196781 BGI196781 BQE196781 CAA196781 CJW196781 CTS196781 DDO196781 DNK196781 DXG196781 EHC196781 EQY196781 FAU196781 FKQ196781 FUM196781 GEI196781 GOE196781 GYA196781 HHW196781 HRS196781 IBO196781 ILK196781 IVG196781 JFC196781 JOY196781 JYU196781 KIQ196781 KSM196781 LCI196781 LME196781 LWA196781 MFW196781 MPS196781 MZO196781 NJK196781 NTG196781 ODC196781 OMY196781 OWU196781 PGQ196781 PQM196781 QAI196781 QKE196781 QUA196781 RDW196781 RNS196781 RXO196781 SHK196781 SRG196781 TBC196781 TKY196781 TUU196781 UEQ196781 UOM196781 UYI196781 VIE196781 VSA196781 WBW196781 WLS196781 WVO196781 G262317 JC262317 SY262317 ACU262317 AMQ262317 AWM262317 BGI262317 BQE262317 CAA262317 CJW262317 CTS262317 DDO262317 DNK262317 DXG262317 EHC262317 EQY262317 FAU262317 FKQ262317 FUM262317 GEI262317 GOE262317 GYA262317 HHW262317 HRS262317 IBO262317 ILK262317 IVG262317 JFC262317 JOY262317 JYU262317 KIQ262317 KSM262317 LCI262317 LME262317 LWA262317 MFW262317 MPS262317 MZO262317 NJK262317 NTG262317 ODC262317 OMY262317 OWU262317 PGQ262317 PQM262317 QAI262317 QKE262317 QUA262317 RDW262317 RNS262317 RXO262317 SHK262317 SRG262317 TBC262317 TKY262317 TUU262317 UEQ262317 UOM262317 UYI262317 VIE262317 VSA262317 WBW262317 WLS262317 WVO262317 G327853 JC327853 SY327853 ACU327853 AMQ327853 AWM327853 BGI327853 BQE327853 CAA327853 CJW327853 CTS327853 DDO327853 DNK327853 DXG327853 EHC327853 EQY327853 FAU327853 FKQ327853 FUM327853 GEI327853 GOE327853 GYA327853 HHW327853 HRS327853 IBO327853 ILK327853 IVG327853 JFC327853 JOY327853 JYU327853 KIQ327853 KSM327853 LCI327853 LME327853 LWA327853 MFW327853 MPS327853 MZO327853 NJK327853 NTG327853 ODC327853 OMY327853 OWU327853 PGQ327853 PQM327853 QAI327853 QKE327853 QUA327853 RDW327853 RNS327853 RXO327853 SHK327853 SRG327853 TBC327853 TKY327853 TUU327853 UEQ327853 UOM327853 UYI327853 VIE327853 VSA327853 WBW327853 WLS327853 WVO327853 G393389 JC393389 SY393389 ACU393389 AMQ393389 AWM393389 BGI393389 BQE393389 CAA393389 CJW393389 CTS393389 DDO393389 DNK393389 DXG393389 EHC393389 EQY393389 FAU393389 FKQ393389 FUM393389 GEI393389 GOE393389 GYA393389 HHW393389 HRS393389 IBO393389 ILK393389 IVG393389 JFC393389 JOY393389 JYU393389 KIQ393389 KSM393389 LCI393389 LME393389 LWA393389 MFW393389 MPS393389 MZO393389 NJK393389 NTG393389 ODC393389 OMY393389 OWU393389 PGQ393389 PQM393389 QAI393389 QKE393389 QUA393389 RDW393389 RNS393389 RXO393389 SHK393389 SRG393389 TBC393389 TKY393389 TUU393389 UEQ393389 UOM393389 UYI393389 VIE393389 VSA393389 WBW393389 WLS393389 WVO393389 G458925 JC458925 SY458925 ACU458925 AMQ458925 AWM458925 BGI458925 BQE458925 CAA458925 CJW458925 CTS458925 DDO458925 DNK458925 DXG458925 EHC458925 EQY458925 FAU458925 FKQ458925 FUM458925 GEI458925 GOE458925 GYA458925 HHW458925 HRS458925 IBO458925 ILK458925 IVG458925 JFC458925 JOY458925 JYU458925 KIQ458925 KSM458925 LCI458925 LME458925 LWA458925 MFW458925 MPS458925 MZO458925 NJK458925 NTG458925 ODC458925 OMY458925 OWU458925 PGQ458925 PQM458925 QAI458925 QKE458925 QUA458925 RDW458925 RNS458925 RXO458925 SHK458925 SRG458925 TBC458925 TKY458925 TUU458925 UEQ458925 UOM458925 UYI458925 VIE458925 VSA458925 WBW458925 WLS458925 WVO458925 G524461 JC524461 SY524461 ACU524461 AMQ524461 AWM524461 BGI524461 BQE524461 CAA524461 CJW524461 CTS524461 DDO524461 DNK524461 DXG524461 EHC524461 EQY524461 FAU524461 FKQ524461 FUM524461 GEI524461 GOE524461 GYA524461 HHW524461 HRS524461 IBO524461 ILK524461 IVG524461 JFC524461 JOY524461 JYU524461 KIQ524461 KSM524461 LCI524461 LME524461 LWA524461 MFW524461 MPS524461 MZO524461 NJK524461 NTG524461 ODC524461 OMY524461 OWU524461 PGQ524461 PQM524461 QAI524461 QKE524461 QUA524461 RDW524461 RNS524461 RXO524461 SHK524461 SRG524461 TBC524461 TKY524461 TUU524461 UEQ524461 UOM524461 UYI524461 VIE524461 VSA524461 WBW524461 WLS524461 WVO524461 G589997 JC589997 SY589997 ACU589997 AMQ589997 AWM589997 BGI589997 BQE589997 CAA589997 CJW589997 CTS589997 DDO589997 DNK589997 DXG589997 EHC589997 EQY589997 FAU589997 FKQ589997 FUM589997 GEI589997 GOE589997 GYA589997 HHW589997 HRS589997 IBO589997 ILK589997 IVG589997 JFC589997 JOY589997 JYU589997 KIQ589997 KSM589997 LCI589997 LME589997 LWA589997 MFW589997 MPS589997 MZO589997 NJK589997 NTG589997 ODC589997 OMY589997 OWU589997 PGQ589997 PQM589997 QAI589997 QKE589997 QUA589997 RDW589997 RNS589997 RXO589997 SHK589997 SRG589997 TBC589997 TKY589997 TUU589997 UEQ589997 UOM589997 UYI589997 VIE589997 VSA589997 WBW589997 WLS589997 WVO589997 G655533 JC655533 SY655533 ACU655533 AMQ655533 AWM655533 BGI655533 BQE655533 CAA655533 CJW655533 CTS655533 DDO655533 DNK655533 DXG655533 EHC655533 EQY655533 FAU655533 FKQ655533 FUM655533 GEI655533 GOE655533 GYA655533 HHW655533 HRS655533 IBO655533 ILK655533 IVG655533 JFC655533 JOY655533 JYU655533 KIQ655533 KSM655533 LCI655533 LME655533 LWA655533 MFW655533 MPS655533 MZO655533 NJK655533 NTG655533 ODC655533 OMY655533 OWU655533 PGQ655533 PQM655533 QAI655533 QKE655533 QUA655533 RDW655533 RNS655533 RXO655533 SHK655533 SRG655533 TBC655533 TKY655533 TUU655533 UEQ655533 UOM655533 UYI655533 VIE655533 VSA655533 WBW655533 WLS655533 WVO655533 G721069 JC721069 SY721069 ACU721069 AMQ721069 AWM721069 BGI721069 BQE721069 CAA721069 CJW721069 CTS721069 DDO721069 DNK721069 DXG721069 EHC721069 EQY721069 FAU721069 FKQ721069 FUM721069 GEI721069 GOE721069 GYA721069 HHW721069 HRS721069 IBO721069 ILK721069 IVG721069 JFC721069 JOY721069 JYU721069 KIQ721069 KSM721069 LCI721069 LME721069 LWA721069 MFW721069 MPS721069 MZO721069 NJK721069 NTG721069 ODC721069 OMY721069 OWU721069 PGQ721069 PQM721069 QAI721069 QKE721069 QUA721069 RDW721069 RNS721069 RXO721069 SHK721069 SRG721069 TBC721069 TKY721069 TUU721069 UEQ721069 UOM721069 UYI721069 VIE721069 VSA721069 WBW721069 WLS721069 WVO721069 G786605 JC786605 SY786605 ACU786605 AMQ786605 AWM786605 BGI786605 BQE786605 CAA786605 CJW786605 CTS786605 DDO786605 DNK786605 DXG786605 EHC786605 EQY786605 FAU786605 FKQ786605 FUM786605 GEI786605 GOE786605 GYA786605 HHW786605 HRS786605 IBO786605 ILK786605 IVG786605 JFC786605 JOY786605 JYU786605 KIQ786605 KSM786605 LCI786605 LME786605 LWA786605 MFW786605 MPS786605 MZO786605 NJK786605 NTG786605 ODC786605 OMY786605 OWU786605 PGQ786605 PQM786605 QAI786605 QKE786605 QUA786605 RDW786605 RNS786605 RXO786605 SHK786605 SRG786605 TBC786605 TKY786605 TUU786605 UEQ786605 UOM786605 UYI786605 VIE786605 VSA786605 WBW786605 WLS786605 WVO786605 G852141 JC852141 SY852141 ACU852141 AMQ852141 AWM852141 BGI852141 BQE852141 CAA852141 CJW852141 CTS852141 DDO852141 DNK852141 DXG852141 EHC852141 EQY852141 FAU852141 FKQ852141 FUM852141 GEI852141 GOE852141 GYA852141 HHW852141 HRS852141 IBO852141 ILK852141 IVG852141 JFC852141 JOY852141 JYU852141 KIQ852141 KSM852141 LCI852141 LME852141 LWA852141 MFW852141 MPS852141 MZO852141 NJK852141 NTG852141 ODC852141 OMY852141 OWU852141 PGQ852141 PQM852141 QAI852141 QKE852141 QUA852141 RDW852141 RNS852141 RXO852141 SHK852141 SRG852141 TBC852141 TKY852141 TUU852141 UEQ852141 UOM852141 UYI852141 VIE852141 VSA852141 WBW852141 WLS852141 WVO852141 G917677 JC917677 SY917677 ACU917677 AMQ917677 AWM917677 BGI917677 BQE917677 CAA917677 CJW917677 CTS917677 DDO917677 DNK917677 DXG917677 EHC917677 EQY917677 FAU917677 FKQ917677 FUM917677 GEI917677 GOE917677 GYA917677 HHW917677 HRS917677 IBO917677 ILK917677 IVG917677 JFC917677 JOY917677 JYU917677 KIQ917677 KSM917677 LCI917677 LME917677 LWA917677 MFW917677 MPS917677 MZO917677 NJK917677 NTG917677 ODC917677 OMY917677 OWU917677 PGQ917677 PQM917677 QAI917677 QKE917677 QUA917677 RDW917677 RNS917677 RXO917677 SHK917677 SRG917677 TBC917677 TKY917677 TUU917677 UEQ917677 UOM917677 UYI917677 VIE917677 VSA917677 WBW917677 WLS917677 WVO917677 G983213 JC983213 SY983213 ACU983213 AMQ983213 AWM983213 BGI983213 BQE983213 CAA983213 CJW983213 CTS983213 DDO983213 DNK983213 DXG983213 EHC983213 EQY983213 FAU983213 FKQ983213 FUM983213 GEI983213 GOE983213 GYA983213 HHW983213 HRS983213 IBO983213 ILK983213 IVG983213 JFC983213 JOY983213 JYU983213 KIQ983213 KSM983213 LCI983213 LME983213 LWA983213 MFW983213 MPS983213 MZO983213 NJK983213 NTG983213 ODC983213 OMY983213 OWU983213 PGQ983213 PQM983213 QAI983213 QKE983213 QUA983213 RDW983213 RNS983213 RXO983213 SHK983213 SRG983213 TBC983213 TKY983213 TUU983213 UEQ983213 UOM983213 UYI983213 VIE983213 VSA983213 WBW983213 WLS983213 WVO983213" xr:uid="{3C6A3A61-5D0E-47EB-BE0A-8C924D597409}">
      <formula1>"YES,NO"</formula1>
    </dataValidation>
    <dataValidation type="list" allowBlank="1" showInputMessage="1" showErrorMessage="1" sqref="D215 IZ215 SV215 ACR215 AMN215 AWJ215 BGF215 BQB215 BZX215 CJT215 CTP215 DDL215 DNH215 DXD215 EGZ215 EQV215 FAR215 FKN215 FUJ215 GEF215 GOB215 GXX215 HHT215 HRP215 IBL215 ILH215 IVD215 JEZ215 JOV215 JYR215 KIN215 KSJ215 LCF215 LMB215 LVX215 MFT215 MPP215 MZL215 NJH215 NTD215 OCZ215 OMV215 OWR215 PGN215 PQJ215 QAF215 QKB215 QTX215 RDT215 RNP215 RXL215 SHH215 SRD215 TAZ215 TKV215 TUR215 UEN215 UOJ215 UYF215 VIB215 VRX215 WBT215 WLP215 WVL215 D65751 IZ65751 SV65751 ACR65751 AMN65751 AWJ65751 BGF65751 BQB65751 BZX65751 CJT65751 CTP65751 DDL65751 DNH65751 DXD65751 EGZ65751 EQV65751 FAR65751 FKN65751 FUJ65751 GEF65751 GOB65751 GXX65751 HHT65751 HRP65751 IBL65751 ILH65751 IVD65751 JEZ65751 JOV65751 JYR65751 KIN65751 KSJ65751 LCF65751 LMB65751 LVX65751 MFT65751 MPP65751 MZL65751 NJH65751 NTD65751 OCZ65751 OMV65751 OWR65751 PGN65751 PQJ65751 QAF65751 QKB65751 QTX65751 RDT65751 RNP65751 RXL65751 SHH65751 SRD65751 TAZ65751 TKV65751 TUR65751 UEN65751 UOJ65751 UYF65751 VIB65751 VRX65751 WBT65751 WLP65751 WVL65751 D131287 IZ131287 SV131287 ACR131287 AMN131287 AWJ131287 BGF131287 BQB131287 BZX131287 CJT131287 CTP131287 DDL131287 DNH131287 DXD131287 EGZ131287 EQV131287 FAR131287 FKN131287 FUJ131287 GEF131287 GOB131287 GXX131287 HHT131287 HRP131287 IBL131287 ILH131287 IVD131287 JEZ131287 JOV131287 JYR131287 KIN131287 KSJ131287 LCF131287 LMB131287 LVX131287 MFT131287 MPP131287 MZL131287 NJH131287 NTD131287 OCZ131287 OMV131287 OWR131287 PGN131287 PQJ131287 QAF131287 QKB131287 QTX131287 RDT131287 RNP131287 RXL131287 SHH131287 SRD131287 TAZ131287 TKV131287 TUR131287 UEN131287 UOJ131287 UYF131287 VIB131287 VRX131287 WBT131287 WLP131287 WVL131287 D196823 IZ196823 SV196823 ACR196823 AMN196823 AWJ196823 BGF196823 BQB196823 BZX196823 CJT196823 CTP196823 DDL196823 DNH196823 DXD196823 EGZ196823 EQV196823 FAR196823 FKN196823 FUJ196823 GEF196823 GOB196823 GXX196823 HHT196823 HRP196823 IBL196823 ILH196823 IVD196823 JEZ196823 JOV196823 JYR196823 KIN196823 KSJ196823 LCF196823 LMB196823 LVX196823 MFT196823 MPP196823 MZL196823 NJH196823 NTD196823 OCZ196823 OMV196823 OWR196823 PGN196823 PQJ196823 QAF196823 QKB196823 QTX196823 RDT196823 RNP196823 RXL196823 SHH196823 SRD196823 TAZ196823 TKV196823 TUR196823 UEN196823 UOJ196823 UYF196823 VIB196823 VRX196823 WBT196823 WLP196823 WVL196823 D262359 IZ262359 SV262359 ACR262359 AMN262359 AWJ262359 BGF262359 BQB262359 BZX262359 CJT262359 CTP262359 DDL262359 DNH262359 DXD262359 EGZ262359 EQV262359 FAR262359 FKN262359 FUJ262359 GEF262359 GOB262359 GXX262359 HHT262359 HRP262359 IBL262359 ILH262359 IVD262359 JEZ262359 JOV262359 JYR262359 KIN262359 KSJ262359 LCF262359 LMB262359 LVX262359 MFT262359 MPP262359 MZL262359 NJH262359 NTD262359 OCZ262359 OMV262359 OWR262359 PGN262359 PQJ262359 QAF262359 QKB262359 QTX262359 RDT262359 RNP262359 RXL262359 SHH262359 SRD262359 TAZ262359 TKV262359 TUR262359 UEN262359 UOJ262359 UYF262359 VIB262359 VRX262359 WBT262359 WLP262359 WVL262359 D327895 IZ327895 SV327895 ACR327895 AMN327895 AWJ327895 BGF327895 BQB327895 BZX327895 CJT327895 CTP327895 DDL327895 DNH327895 DXD327895 EGZ327895 EQV327895 FAR327895 FKN327895 FUJ327895 GEF327895 GOB327895 GXX327895 HHT327895 HRP327895 IBL327895 ILH327895 IVD327895 JEZ327895 JOV327895 JYR327895 KIN327895 KSJ327895 LCF327895 LMB327895 LVX327895 MFT327895 MPP327895 MZL327895 NJH327895 NTD327895 OCZ327895 OMV327895 OWR327895 PGN327895 PQJ327895 QAF327895 QKB327895 QTX327895 RDT327895 RNP327895 RXL327895 SHH327895 SRD327895 TAZ327895 TKV327895 TUR327895 UEN327895 UOJ327895 UYF327895 VIB327895 VRX327895 WBT327895 WLP327895 WVL327895 D393431 IZ393431 SV393431 ACR393431 AMN393431 AWJ393431 BGF393431 BQB393431 BZX393431 CJT393431 CTP393431 DDL393431 DNH393431 DXD393431 EGZ393431 EQV393431 FAR393431 FKN393431 FUJ393431 GEF393431 GOB393431 GXX393431 HHT393431 HRP393431 IBL393431 ILH393431 IVD393431 JEZ393431 JOV393431 JYR393431 KIN393431 KSJ393431 LCF393431 LMB393431 LVX393431 MFT393431 MPP393431 MZL393431 NJH393431 NTD393431 OCZ393431 OMV393431 OWR393431 PGN393431 PQJ393431 QAF393431 QKB393431 QTX393431 RDT393431 RNP393431 RXL393431 SHH393431 SRD393431 TAZ393431 TKV393431 TUR393431 UEN393431 UOJ393431 UYF393431 VIB393431 VRX393431 WBT393431 WLP393431 WVL393431 D458967 IZ458967 SV458967 ACR458967 AMN458967 AWJ458967 BGF458967 BQB458967 BZX458967 CJT458967 CTP458967 DDL458967 DNH458967 DXD458967 EGZ458967 EQV458967 FAR458967 FKN458967 FUJ458967 GEF458967 GOB458967 GXX458967 HHT458967 HRP458967 IBL458967 ILH458967 IVD458967 JEZ458967 JOV458967 JYR458967 KIN458967 KSJ458967 LCF458967 LMB458967 LVX458967 MFT458967 MPP458967 MZL458967 NJH458967 NTD458967 OCZ458967 OMV458967 OWR458967 PGN458967 PQJ458967 QAF458967 QKB458967 QTX458967 RDT458967 RNP458967 RXL458967 SHH458967 SRD458967 TAZ458967 TKV458967 TUR458967 UEN458967 UOJ458967 UYF458967 VIB458967 VRX458967 WBT458967 WLP458967 WVL458967 D524503 IZ524503 SV524503 ACR524503 AMN524503 AWJ524503 BGF524503 BQB524503 BZX524503 CJT524503 CTP524503 DDL524503 DNH524503 DXD524503 EGZ524503 EQV524503 FAR524503 FKN524503 FUJ524503 GEF524503 GOB524503 GXX524503 HHT524503 HRP524503 IBL524503 ILH524503 IVD524503 JEZ524503 JOV524503 JYR524503 KIN524503 KSJ524503 LCF524503 LMB524503 LVX524503 MFT524503 MPP524503 MZL524503 NJH524503 NTD524503 OCZ524503 OMV524503 OWR524503 PGN524503 PQJ524503 QAF524503 QKB524503 QTX524503 RDT524503 RNP524503 RXL524503 SHH524503 SRD524503 TAZ524503 TKV524503 TUR524503 UEN524503 UOJ524503 UYF524503 VIB524503 VRX524503 WBT524503 WLP524503 WVL524503 D590039 IZ590039 SV590039 ACR590039 AMN590039 AWJ590039 BGF590039 BQB590039 BZX590039 CJT590039 CTP590039 DDL590039 DNH590039 DXD590039 EGZ590039 EQV590039 FAR590039 FKN590039 FUJ590039 GEF590039 GOB590039 GXX590039 HHT590039 HRP590039 IBL590039 ILH590039 IVD590039 JEZ590039 JOV590039 JYR590039 KIN590039 KSJ590039 LCF590039 LMB590039 LVX590039 MFT590039 MPP590039 MZL590039 NJH590039 NTD590039 OCZ590039 OMV590039 OWR590039 PGN590039 PQJ590039 QAF590039 QKB590039 QTX590039 RDT590039 RNP590039 RXL590039 SHH590039 SRD590039 TAZ590039 TKV590039 TUR590039 UEN590039 UOJ590039 UYF590039 VIB590039 VRX590039 WBT590039 WLP590039 WVL590039 D655575 IZ655575 SV655575 ACR655575 AMN655575 AWJ655575 BGF655575 BQB655575 BZX655575 CJT655575 CTP655575 DDL655575 DNH655575 DXD655575 EGZ655575 EQV655575 FAR655575 FKN655575 FUJ655575 GEF655575 GOB655575 GXX655575 HHT655575 HRP655575 IBL655575 ILH655575 IVD655575 JEZ655575 JOV655575 JYR655575 KIN655575 KSJ655575 LCF655575 LMB655575 LVX655575 MFT655575 MPP655575 MZL655575 NJH655575 NTD655575 OCZ655575 OMV655575 OWR655575 PGN655575 PQJ655575 QAF655575 QKB655575 QTX655575 RDT655575 RNP655575 RXL655575 SHH655575 SRD655575 TAZ655575 TKV655575 TUR655575 UEN655575 UOJ655575 UYF655575 VIB655575 VRX655575 WBT655575 WLP655575 WVL655575 D721111 IZ721111 SV721111 ACR721111 AMN721111 AWJ721111 BGF721111 BQB721111 BZX721111 CJT721111 CTP721111 DDL721111 DNH721111 DXD721111 EGZ721111 EQV721111 FAR721111 FKN721111 FUJ721111 GEF721111 GOB721111 GXX721111 HHT721111 HRP721111 IBL721111 ILH721111 IVD721111 JEZ721111 JOV721111 JYR721111 KIN721111 KSJ721111 LCF721111 LMB721111 LVX721111 MFT721111 MPP721111 MZL721111 NJH721111 NTD721111 OCZ721111 OMV721111 OWR721111 PGN721111 PQJ721111 QAF721111 QKB721111 QTX721111 RDT721111 RNP721111 RXL721111 SHH721111 SRD721111 TAZ721111 TKV721111 TUR721111 UEN721111 UOJ721111 UYF721111 VIB721111 VRX721111 WBT721111 WLP721111 WVL721111 D786647 IZ786647 SV786647 ACR786647 AMN786647 AWJ786647 BGF786647 BQB786647 BZX786647 CJT786647 CTP786647 DDL786647 DNH786647 DXD786647 EGZ786647 EQV786647 FAR786647 FKN786647 FUJ786647 GEF786647 GOB786647 GXX786647 HHT786647 HRP786647 IBL786647 ILH786647 IVD786647 JEZ786647 JOV786647 JYR786647 KIN786647 KSJ786647 LCF786647 LMB786647 LVX786647 MFT786647 MPP786647 MZL786647 NJH786647 NTD786647 OCZ786647 OMV786647 OWR786647 PGN786647 PQJ786647 QAF786647 QKB786647 QTX786647 RDT786647 RNP786647 RXL786647 SHH786647 SRD786647 TAZ786647 TKV786647 TUR786647 UEN786647 UOJ786647 UYF786647 VIB786647 VRX786647 WBT786647 WLP786647 WVL786647 D852183 IZ852183 SV852183 ACR852183 AMN852183 AWJ852183 BGF852183 BQB852183 BZX852183 CJT852183 CTP852183 DDL852183 DNH852183 DXD852183 EGZ852183 EQV852183 FAR852183 FKN852183 FUJ852183 GEF852183 GOB852183 GXX852183 HHT852183 HRP852183 IBL852183 ILH852183 IVD852183 JEZ852183 JOV852183 JYR852183 KIN852183 KSJ852183 LCF852183 LMB852183 LVX852183 MFT852183 MPP852183 MZL852183 NJH852183 NTD852183 OCZ852183 OMV852183 OWR852183 PGN852183 PQJ852183 QAF852183 QKB852183 QTX852183 RDT852183 RNP852183 RXL852183 SHH852183 SRD852183 TAZ852183 TKV852183 TUR852183 UEN852183 UOJ852183 UYF852183 VIB852183 VRX852183 WBT852183 WLP852183 WVL852183 D917719 IZ917719 SV917719 ACR917719 AMN917719 AWJ917719 BGF917719 BQB917719 BZX917719 CJT917719 CTP917719 DDL917719 DNH917719 DXD917719 EGZ917719 EQV917719 FAR917719 FKN917719 FUJ917719 GEF917719 GOB917719 GXX917719 HHT917719 HRP917719 IBL917719 ILH917719 IVD917719 JEZ917719 JOV917719 JYR917719 KIN917719 KSJ917719 LCF917719 LMB917719 LVX917719 MFT917719 MPP917719 MZL917719 NJH917719 NTD917719 OCZ917719 OMV917719 OWR917719 PGN917719 PQJ917719 QAF917719 QKB917719 QTX917719 RDT917719 RNP917719 RXL917719 SHH917719 SRD917719 TAZ917719 TKV917719 TUR917719 UEN917719 UOJ917719 UYF917719 VIB917719 VRX917719 WBT917719 WLP917719 WVL917719 D983255 IZ983255 SV983255 ACR983255 AMN983255 AWJ983255 BGF983255 BQB983255 BZX983255 CJT983255 CTP983255 DDL983255 DNH983255 DXD983255 EGZ983255 EQV983255 FAR983255 FKN983255 FUJ983255 GEF983255 GOB983255 GXX983255 HHT983255 HRP983255 IBL983255 ILH983255 IVD983255 JEZ983255 JOV983255 JYR983255 KIN983255 KSJ983255 LCF983255 LMB983255 LVX983255 MFT983255 MPP983255 MZL983255 NJH983255 NTD983255 OCZ983255 OMV983255 OWR983255 PGN983255 PQJ983255 QAF983255 QKB983255 QTX983255 RDT983255 RNP983255 RXL983255 SHH983255 SRD983255 TAZ983255 TKV983255 TUR983255 UEN983255 UOJ983255 UYF983255 VIB983255 VRX983255 WBT983255 WLP983255 WVL983255" xr:uid="{BFA2BC36-19F0-4D47-BD47-B3C7898D9264}">
      <formula1>"PAPER,PLASTIC,PENTOLITE"</formula1>
    </dataValidation>
  </dataValidations>
  <printOptions horizontalCentered="1"/>
  <pageMargins left="0" right="0" top="0.46" bottom="0.5" header="0" footer="0"/>
  <pageSetup scale="94" fitToHeight="4" orientation="portrait" verticalDpi="300" r:id="rId1"/>
  <headerFooter alignWithMargins="0">
    <oddFooter>&amp;C&amp;"Arial,Bold Italic"&amp;12&amp;A</oddFooter>
  </headerFooter>
  <rowBreaks count="3" manualBreakCount="3">
    <brk id="62" max="9" man="1"/>
    <brk id="119" max="9" man="1"/>
    <brk id="179" max="9" man="1"/>
  </rowBreaks>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5</vt:i4>
      </vt:variant>
    </vt:vector>
  </HeadingPairs>
  <TitlesOfParts>
    <vt:vector size="8" baseType="lpstr">
      <vt:lpstr>2018-2019 work sheet</vt:lpstr>
      <vt:lpstr>SwampV13 combo AFE</vt:lpstr>
      <vt:lpstr>Sunland 2008 01 2D</vt:lpstr>
      <vt:lpstr>'2018-2019 work sheet'!Box</vt:lpstr>
      <vt:lpstr>'2018-2019 work sheet'!Print_Area</vt:lpstr>
      <vt:lpstr>'Sunland 2008 01 2D'!Print_Area</vt:lpstr>
      <vt:lpstr>'SwampV13 combo AFE'!Print_Area</vt:lpstr>
      <vt:lpstr>'Sunland 2008 01 2D'!Print_Titles</vt:lpstr>
    </vt:vector>
  </TitlesOfParts>
  <Manager>THarris@eaglegeo.ab.ca</Manager>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THarris@eaglegeo.ab.ca</dc:creator>
  <cp:lastModifiedBy>Tim Harris</cp:lastModifiedBy>
  <cp:lastPrinted>2018-11-23T21:24:03Z</cp:lastPrinted>
  <dcterms:created xsi:type="dcterms:W3CDTF">1997-02-24T22:22:02Z</dcterms:created>
  <dcterms:modified xsi:type="dcterms:W3CDTF">2019-12-11T22:14:19Z</dcterms:modified>
</cp:coreProperties>
</file>